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5\Downloads\"/>
    </mc:Choice>
  </mc:AlternateContent>
  <xr:revisionPtr revIDLastSave="0" documentId="8_{90A68839-14ED-4C20-87D0-C3820282F50F}" xr6:coauthVersionLast="47" xr6:coauthVersionMax="47" xr10:uidLastSave="{00000000-0000-0000-0000-000000000000}"/>
  <bookViews>
    <workbookView xWindow="-120" yWindow="-120" windowWidth="29040" windowHeight="15720" activeTab="1" xr2:uid="{EBF59D92-7977-4C93-A28B-05176BE062B4}"/>
  </bookViews>
  <sheets>
    <sheet name="Produtos" sheetId="1" r:id="rId1"/>
    <sheet name="Vendas" sheetId="2" r:id="rId2"/>
  </sheets>
  <definedNames>
    <definedName name="Tabela_produto">Tabela2[]</definedName>
    <definedName name="Tabela_Vendas">Tabela4[]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N6" i="2"/>
  <c r="N5" i="2"/>
  <c r="N4" i="2"/>
  <c r="N3" i="2"/>
  <c r="F8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F2" i="2"/>
  <c r="F3" i="2"/>
  <c r="F4" i="2"/>
  <c r="F5" i="2"/>
  <c r="F6" i="2"/>
  <c r="F7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</calcChain>
</file>

<file path=xl/sharedStrings.xml><?xml version="1.0" encoding="utf-8"?>
<sst xmlns="http://schemas.openxmlformats.org/spreadsheetml/2006/main" count="58" uniqueCount="36">
  <si>
    <t>ID_Produto</t>
  </si>
  <si>
    <t>Nome_Produto</t>
  </si>
  <si>
    <t>Categoria</t>
  </si>
  <si>
    <t>Preco_Unitario</t>
  </si>
  <si>
    <t>Teclado Mecânico</t>
  </si>
  <si>
    <t>Informática</t>
  </si>
  <si>
    <t>Mouse Gamer</t>
  </si>
  <si>
    <t>Monitor 24"</t>
  </si>
  <si>
    <t>Cadeira de Escritório</t>
  </si>
  <si>
    <t>Móveis</t>
  </si>
  <si>
    <t>Mesa em L</t>
  </si>
  <si>
    <t>Caderno 10 Matérias</t>
  </si>
  <si>
    <t>Papelaria</t>
  </si>
  <si>
    <t>Caneta Esferográfica Azul</t>
  </si>
  <si>
    <t>Marcador de Texto</t>
  </si>
  <si>
    <t>Headset Bluetooth</t>
  </si>
  <si>
    <t>Eletrônicos</t>
  </si>
  <si>
    <t>Webcam Full HD</t>
  </si>
  <si>
    <t>Impressora Multifuncional</t>
  </si>
  <si>
    <t>Papel Sulfite A4 (Resma)</t>
  </si>
  <si>
    <t>Estante de Livros</t>
  </si>
  <si>
    <t>Luminária de Mesa</t>
  </si>
  <si>
    <t>Calculadora Científica</t>
  </si>
  <si>
    <t>SSD 1TB</t>
  </si>
  <si>
    <t>Memória RAM 16GB</t>
  </si>
  <si>
    <t>Mochila para Notebook</t>
  </si>
  <si>
    <t>Acessórios</t>
  </si>
  <si>
    <t>Suporte para Monitor</t>
  </si>
  <si>
    <t>Cabo HDMI 2m</t>
  </si>
  <si>
    <t>ID_Venda</t>
  </si>
  <si>
    <t>Quantidade</t>
  </si>
  <si>
    <t>Data_Venda</t>
  </si>
  <si>
    <t>Nome do Produto</t>
  </si>
  <si>
    <t>Preço Unitário</t>
  </si>
  <si>
    <t>Valor Total da Venda</t>
  </si>
  <si>
    <t>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</si>
</sst>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2"/>
      <color rgb="FFF0F6FC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/>
      <diagonal/>
    </border>
    <border>
      <left/>
      <right style="medium">
        <color rgb="FF3D444D"/>
      </right>
      <top/>
      <bottom/>
      <diagonal/>
    </border>
    <border>
      <left style="medium">
        <color rgb="FF3D444D"/>
      </left>
      <right style="medium">
        <color rgb="FF3D444D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 indent="1"/>
    </xf>
    <xf numFmtId="0" fontId="1" fillId="2" borderId="14" xfId="0" applyFont="1" applyFill="1" applyBorder="1" applyAlignment="1">
      <alignment horizontal="left" vertical="center" wrapText="1" indent="1"/>
    </xf>
    <xf numFmtId="0" fontId="1" fillId="2" borderId="13" xfId="0" applyFont="1" applyFill="1" applyBorder="1" applyAlignment="1">
      <alignment horizontal="left" vertical="center" wrapText="1" indent="1"/>
    </xf>
    <xf numFmtId="0" fontId="1" fillId="2" borderId="12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0" borderId="1" xfId="0" applyFont="1" applyBorder="1"/>
    <xf numFmtId="44" fontId="2" fillId="0" borderId="1" xfId="0" applyNumberFormat="1" applyFont="1" applyBorder="1"/>
    <xf numFmtId="44" fontId="2" fillId="0" borderId="0" xfId="0" applyNumberFormat="1" applyFont="1"/>
    <xf numFmtId="0" fontId="4" fillId="4" borderId="10" xfId="0" applyFont="1" applyFill="1" applyBorder="1" applyAlignment="1">
      <alignment horizontal="center" vertical="center"/>
    </xf>
    <xf numFmtId="169" fontId="3" fillId="0" borderId="1" xfId="0" applyNumberFormat="1" applyFont="1" applyBorder="1"/>
  </cellXfs>
  <cellStyles count="1">
    <cellStyle name="Normal" xfId="0" builtinId="0"/>
  </cellStyles>
  <dxfs count="23"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Relatório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004002624671916"/>
          <c:y val="0.19486111111111112"/>
          <c:w val="0.78162664041994756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Vendas!$M$2:$M$6</c:f>
              <c:strCache>
                <c:ptCount val="5"/>
                <c:pt idx="0">
                  <c:v>Informática</c:v>
                </c:pt>
                <c:pt idx="1">
                  <c:v>Móveis</c:v>
                </c:pt>
                <c:pt idx="2">
                  <c:v>Papelaria</c:v>
                </c:pt>
                <c:pt idx="3">
                  <c:v>Eletrônicos</c:v>
                </c:pt>
                <c:pt idx="4">
                  <c:v>Acessórios</c:v>
                </c:pt>
              </c:strCache>
            </c:strRef>
          </c:cat>
          <c:val>
            <c:numRef>
              <c:f>Vendas!$N$2:$N$6</c:f>
              <c:numCache>
                <c:formatCode>_-[$R$-416]\ * #,##0.00_-;\-[$R$-416]\ * #,##0.00_-;_-[$R$-416]\ * "-"??_-;_-@_-</c:formatCode>
                <c:ptCount val="5"/>
                <c:pt idx="0">
                  <c:v>25300</c:v>
                </c:pt>
                <c:pt idx="1">
                  <c:v>10565</c:v>
                </c:pt>
                <c:pt idx="2">
                  <c:v>4799.5</c:v>
                </c:pt>
                <c:pt idx="3">
                  <c:v>3930</c:v>
                </c:pt>
                <c:pt idx="4">
                  <c:v>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6-4C01-B7BC-8263987E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526384"/>
        <c:axId val="2039527344"/>
      </c:barChart>
      <c:catAx>
        <c:axId val="203952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9527344"/>
        <c:crosses val="autoZero"/>
        <c:auto val="1"/>
        <c:lblAlgn val="ctr"/>
        <c:lblOffset val="100"/>
        <c:noMultiLvlLbl val="0"/>
      </c:catAx>
      <c:valAx>
        <c:axId val="20395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95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16807</xdr:colOff>
      <xdr:row>0</xdr:row>
      <xdr:rowOff>0</xdr:rowOff>
    </xdr:from>
    <xdr:to>
      <xdr:col>19</xdr:col>
      <xdr:colOff>347382</xdr:colOff>
      <xdr:row>30</xdr:row>
      <xdr:rowOff>43141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103823-CF2A-CAF9-3A93-EF72902ED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F2131-B770-4625-A051-8A7C762ED3A6}" name="Tabela2" displayName="Tabela2" ref="A1:D21" totalsRowShown="0" headerRowDxfId="19" dataDxfId="16" headerRowBorderDxfId="21" tableBorderDxfId="22" totalsRowBorderDxfId="20">
  <autoFilter ref="A1:D21" xr:uid="{0E9F2131-B770-4625-A051-8A7C762ED3A6}"/>
  <tableColumns count="4">
    <tableColumn id="1" xr3:uid="{7D26BA7D-9CFB-4C63-AA99-B5CB1A10C716}" name="ID_Produto" dataDxfId="14"/>
    <tableColumn id="2" xr3:uid="{C8C8A551-4DC9-4D6E-B10B-B81AD42B20DE}" name="Nome_Produto" dataDxfId="15"/>
    <tableColumn id="3" xr3:uid="{16886F9F-F76A-4300-B7CE-7D5D1C9E1356}" name="Categoria" dataDxfId="18"/>
    <tableColumn id="4" xr3:uid="{A548567E-1B78-47F0-9180-C4F3A3A533B4}" name="Preco_Unitario" dataDxfId="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62189C-CAA0-43CE-AB5F-216260BE77F2}" name="Tabela4" displayName="Tabela4" ref="A1:H101" totalsRowShown="0" headerRowDxfId="10" headerRowBorderDxfId="12" tableBorderDxfId="13" totalsRowBorderDxfId="11">
  <autoFilter ref="A1:H101" xr:uid="{7062189C-CAA0-43CE-AB5F-216260BE77F2}"/>
  <tableColumns count="8">
    <tableColumn id="1" xr3:uid="{60E76B59-BF97-4A9C-A684-0D9C5B019052}" name="ID_Venda" dataDxfId="9"/>
    <tableColumn id="2" xr3:uid="{91F0D9DB-5C80-4E1B-B488-BEDDD4B14DA0}" name="ID_Produto" dataDxfId="8"/>
    <tableColumn id="3" xr3:uid="{B3672DF8-452D-4AF0-A537-EFB6D3EBC07B}" name="Quantidade" dataDxfId="7"/>
    <tableColumn id="4" xr3:uid="{48183592-7F00-4618-9B82-F537841209B2}" name="Data_Venda" dataDxfId="6"/>
    <tableColumn id="5" xr3:uid="{A33B68AE-4BC5-45DC-8A6B-750F40417013}" name="Nome do Produto" dataDxfId="5">
      <calculatedColumnFormula>VLOOKUP(Tabela4[[#This Row],[ID_Produto]],Tabela_produto,2,FALSE)</calculatedColumnFormula>
    </tableColumn>
    <tableColumn id="6" xr3:uid="{A91D4E84-936D-4EE6-875B-44A29D97C89D}" name="Categoria" dataDxfId="4">
      <calculatedColumnFormula>VLOOKUP(Tabela4[[#This Row],[ID_Produto]],Tabela_produto,3,FALSE)</calculatedColumnFormula>
    </tableColumn>
    <tableColumn id="7" xr3:uid="{45650BE1-F342-4273-86D8-7D9F4E1A2649}" name="Preço Unitário" dataDxfId="3">
      <calculatedColumnFormula>VLOOKUP(Tabela4[[#This Row],[ID_Produto]],Tabela_produto,4,FALSE)</calculatedColumnFormula>
    </tableColumn>
    <tableColumn id="8" xr3:uid="{BF9FFCFB-AE11-4A8D-8B38-096F5057EB23}" name="Valor Total da Venda" dataDxfId="2">
      <calculatedColumnFormula>Tabela4[[#This Row],[Quantidade]]*Tabela4[[#This Row],[Preço Unitário]]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22F5-94EF-406D-A010-457A523F9163}">
  <dimension ref="A1:D21"/>
  <sheetViews>
    <sheetView workbookViewId="0">
      <selection activeCell="G20" sqref="G20"/>
    </sheetView>
  </sheetViews>
  <sheetFormatPr defaultRowHeight="15" x14ac:dyDescent="0.25"/>
  <cols>
    <col min="1" max="1" width="24.42578125" customWidth="1"/>
    <col min="2" max="2" width="33.5703125" customWidth="1"/>
    <col min="3" max="4" width="24.42578125" customWidth="1"/>
  </cols>
  <sheetData>
    <row r="1" spans="1:4" ht="17.25" x14ac:dyDescent="0.25">
      <c r="A1" s="5" t="s">
        <v>0</v>
      </c>
      <c r="B1" s="6" t="s">
        <v>1</v>
      </c>
      <c r="C1" s="6" t="s">
        <v>2</v>
      </c>
      <c r="D1" s="7" t="s">
        <v>3</v>
      </c>
    </row>
    <row r="2" spans="1:4" ht="17.25" x14ac:dyDescent="0.25">
      <c r="A2" s="8">
        <v>1</v>
      </c>
      <c r="B2" s="1" t="s">
        <v>4</v>
      </c>
      <c r="C2" s="1" t="s">
        <v>5</v>
      </c>
      <c r="D2" s="2">
        <v>250</v>
      </c>
    </row>
    <row r="3" spans="1:4" ht="17.25" x14ac:dyDescent="0.25">
      <c r="A3" s="8">
        <v>2</v>
      </c>
      <c r="B3" s="1" t="s">
        <v>6</v>
      </c>
      <c r="C3" s="1" t="s">
        <v>5</v>
      </c>
      <c r="D3" s="2">
        <v>120</v>
      </c>
    </row>
    <row r="4" spans="1:4" ht="17.25" x14ac:dyDescent="0.25">
      <c r="A4" s="8">
        <v>3</v>
      </c>
      <c r="B4" s="1" t="s">
        <v>7</v>
      </c>
      <c r="C4" s="1" t="s">
        <v>5</v>
      </c>
      <c r="D4" s="2">
        <v>850</v>
      </c>
    </row>
    <row r="5" spans="1:4" ht="17.25" x14ac:dyDescent="0.25">
      <c r="A5" s="8">
        <v>4</v>
      </c>
      <c r="B5" s="1" t="s">
        <v>8</v>
      </c>
      <c r="C5" s="1" t="s">
        <v>9</v>
      </c>
      <c r="D5" s="2">
        <v>600</v>
      </c>
    </row>
    <row r="6" spans="1:4" ht="17.25" x14ac:dyDescent="0.25">
      <c r="A6" s="8">
        <v>5</v>
      </c>
      <c r="B6" s="1" t="s">
        <v>10</v>
      </c>
      <c r="C6" s="1" t="s">
        <v>9</v>
      </c>
      <c r="D6" s="2">
        <v>450</v>
      </c>
    </row>
    <row r="7" spans="1:4" ht="17.25" x14ac:dyDescent="0.25">
      <c r="A7" s="8">
        <v>6</v>
      </c>
      <c r="B7" s="1" t="s">
        <v>11</v>
      </c>
      <c r="C7" s="1" t="s">
        <v>12</v>
      </c>
      <c r="D7" s="2">
        <v>25.5</v>
      </c>
    </row>
    <row r="8" spans="1:4" ht="34.5" x14ac:dyDescent="0.25">
      <c r="A8" s="8">
        <v>7</v>
      </c>
      <c r="B8" s="1" t="s">
        <v>13</v>
      </c>
      <c r="C8" s="1" t="s">
        <v>12</v>
      </c>
      <c r="D8" s="2">
        <v>2</v>
      </c>
    </row>
    <row r="9" spans="1:4" ht="17.25" x14ac:dyDescent="0.25">
      <c r="A9" s="8">
        <v>8</v>
      </c>
      <c r="B9" s="1" t="s">
        <v>14</v>
      </c>
      <c r="C9" s="1" t="s">
        <v>12</v>
      </c>
      <c r="D9" s="2">
        <v>5</v>
      </c>
    </row>
    <row r="10" spans="1:4" ht="17.25" x14ac:dyDescent="0.25">
      <c r="A10" s="8">
        <v>9</v>
      </c>
      <c r="B10" s="1" t="s">
        <v>15</v>
      </c>
      <c r="C10" s="1" t="s">
        <v>16</v>
      </c>
      <c r="D10" s="2">
        <v>300</v>
      </c>
    </row>
    <row r="11" spans="1:4" ht="17.25" x14ac:dyDescent="0.25">
      <c r="A11" s="8">
        <v>10</v>
      </c>
      <c r="B11" s="1" t="s">
        <v>17</v>
      </c>
      <c r="C11" s="1" t="s">
        <v>5</v>
      </c>
      <c r="D11" s="2">
        <v>180</v>
      </c>
    </row>
    <row r="12" spans="1:4" ht="17.25" x14ac:dyDescent="0.25">
      <c r="A12" s="8">
        <v>11</v>
      </c>
      <c r="B12" s="1" t="s">
        <v>18</v>
      </c>
      <c r="C12" s="1" t="s">
        <v>5</v>
      </c>
      <c r="D12" s="2">
        <v>700</v>
      </c>
    </row>
    <row r="13" spans="1:4" ht="17.25" x14ac:dyDescent="0.25">
      <c r="A13" s="8">
        <v>12</v>
      </c>
      <c r="B13" s="1" t="s">
        <v>19</v>
      </c>
      <c r="C13" s="1" t="s">
        <v>12</v>
      </c>
      <c r="D13" s="2">
        <v>28</v>
      </c>
    </row>
    <row r="14" spans="1:4" ht="17.25" x14ac:dyDescent="0.25">
      <c r="A14" s="8">
        <v>13</v>
      </c>
      <c r="B14" s="1" t="s">
        <v>20</v>
      </c>
      <c r="C14" s="1" t="s">
        <v>9</v>
      </c>
      <c r="D14" s="2">
        <v>350</v>
      </c>
    </row>
    <row r="15" spans="1:4" ht="17.25" x14ac:dyDescent="0.25">
      <c r="A15" s="8">
        <v>14</v>
      </c>
      <c r="B15" s="1" t="s">
        <v>21</v>
      </c>
      <c r="C15" s="1" t="s">
        <v>9</v>
      </c>
      <c r="D15" s="2">
        <v>85</v>
      </c>
    </row>
    <row r="16" spans="1:4" ht="17.25" x14ac:dyDescent="0.25">
      <c r="A16" s="8">
        <v>15</v>
      </c>
      <c r="B16" s="1" t="s">
        <v>22</v>
      </c>
      <c r="C16" s="1" t="s">
        <v>12</v>
      </c>
      <c r="D16" s="2">
        <v>90</v>
      </c>
    </row>
    <row r="17" spans="1:4" ht="17.25" x14ac:dyDescent="0.25">
      <c r="A17" s="8">
        <v>16</v>
      </c>
      <c r="B17" s="1" t="s">
        <v>23</v>
      </c>
      <c r="C17" s="1" t="s">
        <v>5</v>
      </c>
      <c r="D17" s="2">
        <v>400</v>
      </c>
    </row>
    <row r="18" spans="1:4" ht="17.25" x14ac:dyDescent="0.25">
      <c r="A18" s="8">
        <v>17</v>
      </c>
      <c r="B18" s="1" t="s">
        <v>24</v>
      </c>
      <c r="C18" s="1" t="s">
        <v>5</v>
      </c>
      <c r="D18" s="2">
        <v>320</v>
      </c>
    </row>
    <row r="19" spans="1:4" ht="17.25" x14ac:dyDescent="0.25">
      <c r="A19" s="8">
        <v>18</v>
      </c>
      <c r="B19" s="1" t="s">
        <v>25</v>
      </c>
      <c r="C19" s="1" t="s">
        <v>26</v>
      </c>
      <c r="D19" s="2">
        <v>150</v>
      </c>
    </row>
    <row r="20" spans="1:4" ht="17.25" x14ac:dyDescent="0.25">
      <c r="A20" s="8">
        <v>19</v>
      </c>
      <c r="B20" s="1" t="s">
        <v>27</v>
      </c>
      <c r="C20" s="1" t="s">
        <v>26</v>
      </c>
      <c r="D20" s="2">
        <v>65</v>
      </c>
    </row>
    <row r="21" spans="1:4" ht="17.25" x14ac:dyDescent="0.25">
      <c r="A21" s="9">
        <v>20</v>
      </c>
      <c r="B21" s="3" t="s">
        <v>28</v>
      </c>
      <c r="C21" s="3" t="s">
        <v>16</v>
      </c>
      <c r="D21" s="4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0ECE-CF23-4E3E-8613-609320C1DC71}">
  <dimension ref="A1:N101"/>
  <sheetViews>
    <sheetView tabSelected="1" zoomScale="85" zoomScaleNormal="85" workbookViewId="0">
      <selection activeCell="N34" sqref="N34"/>
    </sheetView>
  </sheetViews>
  <sheetFormatPr defaultRowHeight="15" x14ac:dyDescent="0.25"/>
  <cols>
    <col min="1" max="4" width="19.28515625" customWidth="1"/>
    <col min="5" max="5" width="27.140625" bestFit="1" customWidth="1"/>
    <col min="6" max="7" width="19.28515625" customWidth="1"/>
    <col min="8" max="8" width="35.42578125" customWidth="1"/>
    <col min="13" max="13" width="12.7109375" bestFit="1" customWidth="1"/>
    <col min="14" max="14" width="14.7109375" bestFit="1" customWidth="1"/>
  </cols>
  <sheetData>
    <row r="1" spans="1:14" ht="45" customHeight="1" thickBot="1" x14ac:dyDescent="0.3">
      <c r="A1" s="12" t="s">
        <v>29</v>
      </c>
      <c r="B1" s="11" t="s">
        <v>0</v>
      </c>
      <c r="C1" s="11" t="s">
        <v>30</v>
      </c>
      <c r="D1" s="13" t="s">
        <v>31</v>
      </c>
      <c r="E1" s="11" t="s">
        <v>32</v>
      </c>
      <c r="F1" s="11" t="s">
        <v>2</v>
      </c>
      <c r="G1" s="11" t="s">
        <v>33</v>
      </c>
      <c r="H1" s="10" t="s">
        <v>34</v>
      </c>
      <c r="M1" s="18" t="s">
        <v>35</v>
      </c>
      <c r="N1" s="18"/>
    </row>
    <row r="2" spans="1:14" ht="17.25" x14ac:dyDescent="0.3">
      <c r="A2" s="1">
        <v>1</v>
      </c>
      <c r="B2" s="1">
        <v>1</v>
      </c>
      <c r="C2" s="1">
        <v>2</v>
      </c>
      <c r="D2" s="14">
        <v>45200</v>
      </c>
      <c r="E2" s="15" t="str">
        <f>VLOOKUP(Tabela4[[#This Row],[ID_Produto]],Tabela_produto,2,FALSE)</f>
        <v>Teclado Mecânico</v>
      </c>
      <c r="F2" s="15" t="str">
        <f>VLOOKUP(Tabela4[[#This Row],[ID_Produto]],Tabela_produto,3,FALSE)</f>
        <v>Informática</v>
      </c>
      <c r="G2" s="16">
        <f>VLOOKUP(Tabela4[[#This Row],[ID_Produto]],Tabela_produto,4,FALSE)</f>
        <v>250</v>
      </c>
      <c r="H2" s="17">
        <f>Tabela4[[#This Row],[Quantidade]]*Tabela4[[#This Row],[Preço Unitário]]</f>
        <v>500</v>
      </c>
      <c r="M2" s="15" t="s">
        <v>5</v>
      </c>
      <c r="N2" s="19">
        <f>SUMIF(F:F,"Informática",H:H)</f>
        <v>25300</v>
      </c>
    </row>
    <row r="3" spans="1:14" ht="17.25" x14ac:dyDescent="0.3">
      <c r="A3" s="1">
        <v>2</v>
      </c>
      <c r="B3" s="1">
        <v>5</v>
      </c>
      <c r="C3" s="1">
        <v>1</v>
      </c>
      <c r="D3" s="14">
        <v>45200</v>
      </c>
      <c r="E3" s="15" t="str">
        <f>VLOOKUP(Tabela4[[#This Row],[ID_Produto]],Tabela_produto,2,FALSE)</f>
        <v>Mesa em L</v>
      </c>
      <c r="F3" s="15" t="str">
        <f>VLOOKUP(Tabela4[[#This Row],[ID_Produto]],Tabela_produto,3,FALSE)</f>
        <v>Móveis</v>
      </c>
      <c r="G3" s="16">
        <f>VLOOKUP(Tabela4[[#This Row],[ID_Produto]],Tabela_produto,4,FALSE)</f>
        <v>450</v>
      </c>
      <c r="H3" s="17">
        <f>Tabela4[[#This Row],[Quantidade]]*Tabela4[[#This Row],[Preço Unitário]]</f>
        <v>450</v>
      </c>
      <c r="M3" s="15" t="s">
        <v>9</v>
      </c>
      <c r="N3" s="19">
        <f>SUMIF(F:F,"Móveis",H:H)</f>
        <v>10565</v>
      </c>
    </row>
    <row r="4" spans="1:14" ht="17.25" x14ac:dyDescent="0.3">
      <c r="A4" s="1">
        <v>3</v>
      </c>
      <c r="B4" s="1">
        <v>12</v>
      </c>
      <c r="C4" s="1">
        <v>10</v>
      </c>
      <c r="D4" s="14">
        <v>45201</v>
      </c>
      <c r="E4" s="15" t="str">
        <f>VLOOKUP(Tabela4[[#This Row],[ID_Produto]],Tabela_produto,2,FALSE)</f>
        <v>Papel Sulfite A4 (Resma)</v>
      </c>
      <c r="F4" s="15" t="str">
        <f>VLOOKUP(Tabela4[[#This Row],[ID_Produto]],Tabela_produto,3,FALSE)</f>
        <v>Papelaria</v>
      </c>
      <c r="G4" s="16">
        <f>VLOOKUP(Tabela4[[#This Row],[ID_Produto]],Tabela_produto,4,FALSE)</f>
        <v>28</v>
      </c>
      <c r="H4" s="17">
        <f>Tabela4[[#This Row],[Quantidade]]*Tabela4[[#This Row],[Preço Unitário]]</f>
        <v>280</v>
      </c>
      <c r="M4" s="15" t="s">
        <v>12</v>
      </c>
      <c r="N4" s="19">
        <f>SUMIF(F:F,"Papelaria",H:H)</f>
        <v>4799.5</v>
      </c>
    </row>
    <row r="5" spans="1:14" ht="17.25" x14ac:dyDescent="0.3">
      <c r="A5" s="1">
        <v>4</v>
      </c>
      <c r="B5" s="1">
        <v>3</v>
      </c>
      <c r="C5" s="1">
        <v>1</v>
      </c>
      <c r="D5" s="14">
        <v>45201</v>
      </c>
      <c r="E5" s="15" t="str">
        <f>VLOOKUP(Tabela4[[#This Row],[ID_Produto]],Tabela_produto,2,FALSE)</f>
        <v>Monitor 24"</v>
      </c>
      <c r="F5" s="15" t="str">
        <f>VLOOKUP(Tabela4[[#This Row],[ID_Produto]],Tabela_produto,3,FALSE)</f>
        <v>Informática</v>
      </c>
      <c r="G5" s="16">
        <f>VLOOKUP(Tabela4[[#This Row],[ID_Produto]],Tabela_produto,4,FALSE)</f>
        <v>850</v>
      </c>
      <c r="H5" s="17">
        <f>Tabela4[[#This Row],[Quantidade]]*Tabela4[[#This Row],[Preço Unitário]]</f>
        <v>850</v>
      </c>
      <c r="M5" s="15" t="s">
        <v>16</v>
      </c>
      <c r="N5" s="19">
        <f>SUMIF(F:F,"Eletrônicos",H:H)</f>
        <v>3930</v>
      </c>
    </row>
    <row r="6" spans="1:14" ht="17.25" x14ac:dyDescent="0.3">
      <c r="A6" s="1">
        <v>5</v>
      </c>
      <c r="B6" s="1">
        <v>7</v>
      </c>
      <c r="C6" s="1">
        <v>50</v>
      </c>
      <c r="D6" s="14">
        <v>45202</v>
      </c>
      <c r="E6" s="15" t="str">
        <f>VLOOKUP(Tabela4[[#This Row],[ID_Produto]],Tabela_produto,2,FALSE)</f>
        <v>Caneta Esferográfica Azul</v>
      </c>
      <c r="F6" s="15" t="str">
        <f>VLOOKUP(Tabela4[[#This Row],[ID_Produto]],Tabela_produto,3,FALSE)</f>
        <v>Papelaria</v>
      </c>
      <c r="G6" s="16">
        <f>VLOOKUP(Tabela4[[#This Row],[ID_Produto]],Tabela_produto,4,FALSE)</f>
        <v>2</v>
      </c>
      <c r="H6" s="17">
        <f>Tabela4[[#This Row],[Quantidade]]*Tabela4[[#This Row],[Preço Unitário]]</f>
        <v>100</v>
      </c>
      <c r="M6" s="15" t="s">
        <v>26</v>
      </c>
      <c r="N6" s="19">
        <f>SUMIF(F:F,"Acessórios",H:H)</f>
        <v>2195</v>
      </c>
    </row>
    <row r="7" spans="1:14" ht="17.25" x14ac:dyDescent="0.3">
      <c r="A7" s="1">
        <v>6</v>
      </c>
      <c r="B7" s="1">
        <v>2</v>
      </c>
      <c r="C7" s="1">
        <v>3</v>
      </c>
      <c r="D7" s="14">
        <v>45202</v>
      </c>
      <c r="E7" s="15" t="str">
        <f>VLOOKUP(Tabela4[[#This Row],[ID_Produto]],Tabela_produto,2,FALSE)</f>
        <v>Mouse Gamer</v>
      </c>
      <c r="F7" s="15" t="str">
        <f>VLOOKUP(Tabela4[[#This Row],[ID_Produto]],Tabela_produto,3,FALSE)</f>
        <v>Informática</v>
      </c>
      <c r="G7" s="16">
        <f>VLOOKUP(Tabela4[[#This Row],[ID_Produto]],Tabela_produto,4,FALSE)</f>
        <v>120</v>
      </c>
      <c r="H7" s="17">
        <f>Tabela4[[#This Row],[Quantidade]]*Tabela4[[#This Row],[Preço Unitário]]</f>
        <v>360</v>
      </c>
    </row>
    <row r="8" spans="1:14" ht="17.25" x14ac:dyDescent="0.3">
      <c r="A8" s="1">
        <v>7</v>
      </c>
      <c r="B8" s="1">
        <v>15</v>
      </c>
      <c r="C8" s="1">
        <v>2</v>
      </c>
      <c r="D8" s="14">
        <v>45203</v>
      </c>
      <c r="E8" s="15" t="str">
        <f>VLOOKUP(Tabela4[[#This Row],[ID_Produto]],Tabela_produto,2,FALSE)</f>
        <v>Calculadora Científica</v>
      </c>
      <c r="F8" s="15" t="str">
        <f>VLOOKUP(Tabela4[[#This Row],[ID_Produto]],Tabela_produto,3,FALSE)</f>
        <v>Papelaria</v>
      </c>
      <c r="G8" s="16">
        <f>VLOOKUP(Tabela4[[#This Row],[ID_Produto]],Tabela_produto,4,FALSE)</f>
        <v>90</v>
      </c>
      <c r="H8" s="17">
        <f>Tabela4[[#This Row],[Quantidade]]*Tabela4[[#This Row],[Preço Unitário]]</f>
        <v>180</v>
      </c>
    </row>
    <row r="9" spans="1:14" ht="17.25" x14ac:dyDescent="0.3">
      <c r="A9" s="1">
        <v>8</v>
      </c>
      <c r="B9" s="1">
        <v>18</v>
      </c>
      <c r="C9" s="1">
        <v>1</v>
      </c>
      <c r="D9" s="14">
        <v>45203</v>
      </c>
      <c r="E9" s="15" t="str">
        <f>VLOOKUP(Tabela4[[#This Row],[ID_Produto]],Tabela_produto,2,FALSE)</f>
        <v>Mochila para Notebook</v>
      </c>
      <c r="F9" s="15" t="str">
        <f>VLOOKUP(Tabela4[[#This Row],[ID_Produto]],Tabela_produto,3,FALSE)</f>
        <v>Acessórios</v>
      </c>
      <c r="G9" s="16">
        <f>VLOOKUP(Tabela4[[#This Row],[ID_Produto]],Tabela_produto,4,FALSE)</f>
        <v>150</v>
      </c>
      <c r="H9" s="17">
        <f>Tabela4[[#This Row],[Quantidade]]*Tabela4[[#This Row],[Preço Unitário]]</f>
        <v>150</v>
      </c>
    </row>
    <row r="10" spans="1:14" ht="17.25" x14ac:dyDescent="0.3">
      <c r="A10" s="1">
        <v>9</v>
      </c>
      <c r="B10" s="1">
        <v>20</v>
      </c>
      <c r="C10" s="1">
        <v>5</v>
      </c>
      <c r="D10" s="14">
        <v>45204</v>
      </c>
      <c r="E10" s="15" t="str">
        <f>VLOOKUP(Tabela4[[#This Row],[ID_Produto]],Tabela_produto,2,FALSE)</f>
        <v>Cabo HDMI 2m</v>
      </c>
      <c r="F10" s="15" t="str">
        <f>VLOOKUP(Tabela4[[#This Row],[ID_Produto]],Tabela_produto,3,FALSE)</f>
        <v>Eletrônicos</v>
      </c>
      <c r="G10" s="16">
        <f>VLOOKUP(Tabela4[[#This Row],[ID_Produto]],Tabela_produto,4,FALSE)</f>
        <v>30</v>
      </c>
      <c r="H10" s="17">
        <f>Tabela4[[#This Row],[Quantidade]]*Tabela4[[#This Row],[Preço Unitário]]</f>
        <v>150</v>
      </c>
    </row>
    <row r="11" spans="1:14" ht="17.25" x14ac:dyDescent="0.3">
      <c r="A11" s="1">
        <v>10</v>
      </c>
      <c r="B11" s="1">
        <v>9</v>
      </c>
      <c r="C11" s="1">
        <v>2</v>
      </c>
      <c r="D11" s="14">
        <v>45204</v>
      </c>
      <c r="E11" s="15" t="str">
        <f>VLOOKUP(Tabela4[[#This Row],[ID_Produto]],Tabela_produto,2,FALSE)</f>
        <v>Headset Bluetooth</v>
      </c>
      <c r="F11" s="15" t="str">
        <f>VLOOKUP(Tabela4[[#This Row],[ID_Produto]],Tabela_produto,3,FALSE)</f>
        <v>Eletrônicos</v>
      </c>
      <c r="G11" s="16">
        <f>VLOOKUP(Tabela4[[#This Row],[ID_Produto]],Tabela_produto,4,FALSE)</f>
        <v>300</v>
      </c>
      <c r="H11" s="17">
        <f>Tabela4[[#This Row],[Quantidade]]*Tabela4[[#This Row],[Preço Unitário]]</f>
        <v>600</v>
      </c>
    </row>
    <row r="12" spans="1:14" ht="17.25" x14ac:dyDescent="0.3">
      <c r="A12" s="1">
        <v>11</v>
      </c>
      <c r="B12" s="1">
        <v>4</v>
      </c>
      <c r="C12" s="1">
        <v>1</v>
      </c>
      <c r="D12" s="14">
        <v>45205</v>
      </c>
      <c r="E12" s="15" t="str">
        <f>VLOOKUP(Tabela4[[#This Row],[ID_Produto]],Tabela_produto,2,FALSE)</f>
        <v>Cadeira de Escritório</v>
      </c>
      <c r="F12" s="15" t="str">
        <f>VLOOKUP(Tabela4[[#This Row],[ID_Produto]],Tabela_produto,3,FALSE)</f>
        <v>Móveis</v>
      </c>
      <c r="G12" s="16">
        <f>VLOOKUP(Tabela4[[#This Row],[ID_Produto]],Tabela_produto,4,FALSE)</f>
        <v>600</v>
      </c>
      <c r="H12" s="17">
        <f>Tabela4[[#This Row],[Quantidade]]*Tabela4[[#This Row],[Preço Unitário]]</f>
        <v>600</v>
      </c>
    </row>
    <row r="13" spans="1:14" ht="17.25" x14ac:dyDescent="0.3">
      <c r="A13" s="1">
        <v>12</v>
      </c>
      <c r="B13" s="1">
        <v>11</v>
      </c>
      <c r="C13" s="1">
        <v>1</v>
      </c>
      <c r="D13" s="14">
        <v>45205</v>
      </c>
      <c r="E13" s="15" t="str">
        <f>VLOOKUP(Tabela4[[#This Row],[ID_Produto]],Tabela_produto,2,FALSE)</f>
        <v>Impressora Multifuncional</v>
      </c>
      <c r="F13" s="15" t="str">
        <f>VLOOKUP(Tabela4[[#This Row],[ID_Produto]],Tabela_produto,3,FALSE)</f>
        <v>Informática</v>
      </c>
      <c r="G13" s="16">
        <f>VLOOKUP(Tabela4[[#This Row],[ID_Produto]],Tabela_produto,4,FALSE)</f>
        <v>700</v>
      </c>
      <c r="H13" s="17">
        <f>Tabela4[[#This Row],[Quantidade]]*Tabela4[[#This Row],[Preço Unitário]]</f>
        <v>700</v>
      </c>
    </row>
    <row r="14" spans="1:14" ht="17.25" x14ac:dyDescent="0.3">
      <c r="A14" s="1">
        <v>13</v>
      </c>
      <c r="B14" s="1">
        <v>16</v>
      </c>
      <c r="C14" s="1">
        <v>2</v>
      </c>
      <c r="D14" s="14">
        <v>45206</v>
      </c>
      <c r="E14" s="15" t="str">
        <f>VLOOKUP(Tabela4[[#This Row],[ID_Produto]],Tabela_produto,2,FALSE)</f>
        <v>SSD 1TB</v>
      </c>
      <c r="F14" s="15" t="str">
        <f>VLOOKUP(Tabela4[[#This Row],[ID_Produto]],Tabela_produto,3,FALSE)</f>
        <v>Informática</v>
      </c>
      <c r="G14" s="16">
        <f>VLOOKUP(Tabela4[[#This Row],[ID_Produto]],Tabela_produto,4,FALSE)</f>
        <v>400</v>
      </c>
      <c r="H14" s="17">
        <f>Tabela4[[#This Row],[Quantidade]]*Tabela4[[#This Row],[Preço Unitário]]</f>
        <v>800</v>
      </c>
    </row>
    <row r="15" spans="1:14" ht="17.25" x14ac:dyDescent="0.3">
      <c r="A15" s="1">
        <v>14</v>
      </c>
      <c r="B15" s="1">
        <v>8</v>
      </c>
      <c r="C15" s="1">
        <v>15</v>
      </c>
      <c r="D15" s="14">
        <v>45206</v>
      </c>
      <c r="E15" s="15" t="str">
        <f>VLOOKUP(Tabela4[[#This Row],[ID_Produto]],Tabela_produto,2,FALSE)</f>
        <v>Marcador de Texto</v>
      </c>
      <c r="F15" s="15" t="str">
        <f>VLOOKUP(Tabela4[[#This Row],[ID_Produto]],Tabela_produto,3,FALSE)</f>
        <v>Papelaria</v>
      </c>
      <c r="G15" s="16">
        <f>VLOOKUP(Tabela4[[#This Row],[ID_Produto]],Tabela_produto,4,FALSE)</f>
        <v>5</v>
      </c>
      <c r="H15" s="17">
        <f>Tabela4[[#This Row],[Quantidade]]*Tabela4[[#This Row],[Preço Unitário]]</f>
        <v>75</v>
      </c>
    </row>
    <row r="16" spans="1:14" ht="17.25" x14ac:dyDescent="0.3">
      <c r="A16" s="1">
        <v>15</v>
      </c>
      <c r="B16" s="1">
        <v>1</v>
      </c>
      <c r="C16" s="1">
        <v>1</v>
      </c>
      <c r="D16" s="14">
        <v>45207</v>
      </c>
      <c r="E16" s="15" t="str">
        <f>VLOOKUP(Tabela4[[#This Row],[ID_Produto]],Tabela_produto,2,FALSE)</f>
        <v>Teclado Mecânico</v>
      </c>
      <c r="F16" s="15" t="str">
        <f>VLOOKUP(Tabela4[[#This Row],[ID_Produto]],Tabela_produto,3,FALSE)</f>
        <v>Informática</v>
      </c>
      <c r="G16" s="16">
        <f>VLOOKUP(Tabela4[[#This Row],[ID_Produto]],Tabela_produto,4,FALSE)</f>
        <v>250</v>
      </c>
      <c r="H16" s="17">
        <f>Tabela4[[#This Row],[Quantidade]]*Tabela4[[#This Row],[Preço Unitário]]</f>
        <v>250</v>
      </c>
    </row>
    <row r="17" spans="1:8" ht="17.25" x14ac:dyDescent="0.3">
      <c r="A17" s="1">
        <v>16</v>
      </c>
      <c r="B17" s="1">
        <v>6</v>
      </c>
      <c r="C17" s="1">
        <v>5</v>
      </c>
      <c r="D17" s="14">
        <v>45207</v>
      </c>
      <c r="E17" s="15" t="str">
        <f>VLOOKUP(Tabela4[[#This Row],[ID_Produto]],Tabela_produto,2,FALSE)</f>
        <v>Caderno 10 Matérias</v>
      </c>
      <c r="F17" s="15" t="str">
        <f>VLOOKUP(Tabela4[[#This Row],[ID_Produto]],Tabela_produto,3,FALSE)</f>
        <v>Papelaria</v>
      </c>
      <c r="G17" s="16">
        <f>VLOOKUP(Tabela4[[#This Row],[ID_Produto]],Tabela_produto,4,FALSE)</f>
        <v>25.5</v>
      </c>
      <c r="H17" s="17">
        <f>Tabela4[[#This Row],[Quantidade]]*Tabela4[[#This Row],[Preço Unitário]]</f>
        <v>127.5</v>
      </c>
    </row>
    <row r="18" spans="1:8" ht="17.25" x14ac:dyDescent="0.3">
      <c r="A18" s="1">
        <v>17</v>
      </c>
      <c r="B18" s="1">
        <v>19</v>
      </c>
      <c r="C18" s="1">
        <v>3</v>
      </c>
      <c r="D18" s="14">
        <v>45208</v>
      </c>
      <c r="E18" s="15" t="str">
        <f>VLOOKUP(Tabela4[[#This Row],[ID_Produto]],Tabela_produto,2,FALSE)</f>
        <v>Suporte para Monitor</v>
      </c>
      <c r="F18" s="15" t="str">
        <f>VLOOKUP(Tabela4[[#This Row],[ID_Produto]],Tabela_produto,3,FALSE)</f>
        <v>Acessórios</v>
      </c>
      <c r="G18" s="16">
        <f>VLOOKUP(Tabela4[[#This Row],[ID_Produto]],Tabela_produto,4,FALSE)</f>
        <v>65</v>
      </c>
      <c r="H18" s="17">
        <f>Tabela4[[#This Row],[Quantidade]]*Tabela4[[#This Row],[Preço Unitário]]</f>
        <v>195</v>
      </c>
    </row>
    <row r="19" spans="1:8" ht="17.25" x14ac:dyDescent="0.3">
      <c r="A19" s="1">
        <v>18</v>
      </c>
      <c r="B19" s="1">
        <v>14</v>
      </c>
      <c r="C19" s="1">
        <v>2</v>
      </c>
      <c r="D19" s="14">
        <v>45208</v>
      </c>
      <c r="E19" s="15" t="str">
        <f>VLOOKUP(Tabela4[[#This Row],[ID_Produto]],Tabela_produto,2,FALSE)</f>
        <v>Luminária de Mesa</v>
      </c>
      <c r="F19" s="15" t="str">
        <f>VLOOKUP(Tabela4[[#This Row],[ID_Produto]],Tabela_produto,3,FALSE)</f>
        <v>Móveis</v>
      </c>
      <c r="G19" s="16">
        <f>VLOOKUP(Tabela4[[#This Row],[ID_Produto]],Tabela_produto,4,FALSE)</f>
        <v>85</v>
      </c>
      <c r="H19" s="17">
        <f>Tabela4[[#This Row],[Quantidade]]*Tabela4[[#This Row],[Preço Unitário]]</f>
        <v>170</v>
      </c>
    </row>
    <row r="20" spans="1:8" ht="17.25" x14ac:dyDescent="0.3">
      <c r="A20" s="1">
        <v>19</v>
      </c>
      <c r="B20" s="1">
        <v>13</v>
      </c>
      <c r="C20" s="1">
        <v>1</v>
      </c>
      <c r="D20" s="14">
        <v>45209</v>
      </c>
      <c r="E20" s="15" t="str">
        <f>VLOOKUP(Tabela4[[#This Row],[ID_Produto]],Tabela_produto,2,FALSE)</f>
        <v>Estante de Livros</v>
      </c>
      <c r="F20" s="15" t="str">
        <f>VLOOKUP(Tabela4[[#This Row],[ID_Produto]],Tabela_produto,3,FALSE)</f>
        <v>Móveis</v>
      </c>
      <c r="G20" s="16">
        <f>VLOOKUP(Tabela4[[#This Row],[ID_Produto]],Tabela_produto,4,FALSE)</f>
        <v>350</v>
      </c>
      <c r="H20" s="17">
        <f>Tabela4[[#This Row],[Quantidade]]*Tabela4[[#This Row],[Preço Unitário]]</f>
        <v>350</v>
      </c>
    </row>
    <row r="21" spans="1:8" ht="17.25" x14ac:dyDescent="0.3">
      <c r="A21" s="1">
        <v>20</v>
      </c>
      <c r="B21" s="1">
        <v>10</v>
      </c>
      <c r="C21" s="1">
        <v>4</v>
      </c>
      <c r="D21" s="14">
        <v>45209</v>
      </c>
      <c r="E21" s="15" t="str">
        <f>VLOOKUP(Tabela4[[#This Row],[ID_Produto]],Tabela_produto,2,FALSE)</f>
        <v>Webcam Full HD</v>
      </c>
      <c r="F21" s="15" t="str">
        <f>VLOOKUP(Tabela4[[#This Row],[ID_Produto]],Tabela_produto,3,FALSE)</f>
        <v>Informática</v>
      </c>
      <c r="G21" s="16">
        <f>VLOOKUP(Tabela4[[#This Row],[ID_Produto]],Tabela_produto,4,FALSE)</f>
        <v>180</v>
      </c>
      <c r="H21" s="17">
        <f>Tabela4[[#This Row],[Quantidade]]*Tabela4[[#This Row],[Preço Unitário]]</f>
        <v>720</v>
      </c>
    </row>
    <row r="22" spans="1:8" ht="17.25" x14ac:dyDescent="0.3">
      <c r="A22" s="1">
        <v>21</v>
      </c>
      <c r="B22" s="1">
        <v>2</v>
      </c>
      <c r="C22" s="1">
        <v>2</v>
      </c>
      <c r="D22" s="14">
        <v>45210</v>
      </c>
      <c r="E22" s="15" t="str">
        <f>VLOOKUP(Tabela4[[#This Row],[ID_Produto]],Tabela_produto,2,FALSE)</f>
        <v>Mouse Gamer</v>
      </c>
      <c r="F22" s="15" t="str">
        <f>VLOOKUP(Tabela4[[#This Row],[ID_Produto]],Tabela_produto,3,FALSE)</f>
        <v>Informática</v>
      </c>
      <c r="G22" s="16">
        <f>VLOOKUP(Tabela4[[#This Row],[ID_Produto]],Tabela_produto,4,FALSE)</f>
        <v>120</v>
      </c>
      <c r="H22" s="17">
        <f>Tabela4[[#This Row],[Quantidade]]*Tabela4[[#This Row],[Preço Unitário]]</f>
        <v>240</v>
      </c>
    </row>
    <row r="23" spans="1:8" ht="17.25" x14ac:dyDescent="0.3">
      <c r="A23" s="1">
        <v>22</v>
      </c>
      <c r="B23" s="1">
        <v>17</v>
      </c>
      <c r="C23" s="1">
        <v>2</v>
      </c>
      <c r="D23" s="14">
        <v>45210</v>
      </c>
      <c r="E23" s="15" t="str">
        <f>VLOOKUP(Tabela4[[#This Row],[ID_Produto]],Tabela_produto,2,FALSE)</f>
        <v>Memória RAM 16GB</v>
      </c>
      <c r="F23" s="15" t="str">
        <f>VLOOKUP(Tabela4[[#This Row],[ID_Produto]],Tabela_produto,3,FALSE)</f>
        <v>Informática</v>
      </c>
      <c r="G23" s="16">
        <f>VLOOKUP(Tabela4[[#This Row],[ID_Produto]],Tabela_produto,4,FALSE)</f>
        <v>320</v>
      </c>
      <c r="H23" s="17">
        <f>Tabela4[[#This Row],[Quantidade]]*Tabela4[[#This Row],[Preço Unitário]]</f>
        <v>640</v>
      </c>
    </row>
    <row r="24" spans="1:8" ht="17.25" x14ac:dyDescent="0.3">
      <c r="A24" s="1">
        <v>23</v>
      </c>
      <c r="B24" s="1">
        <v>3</v>
      </c>
      <c r="C24" s="1">
        <v>1</v>
      </c>
      <c r="D24" s="14">
        <v>45211</v>
      </c>
      <c r="E24" s="15" t="str">
        <f>VLOOKUP(Tabela4[[#This Row],[ID_Produto]],Tabela_produto,2,FALSE)</f>
        <v>Monitor 24"</v>
      </c>
      <c r="F24" s="15" t="str">
        <f>VLOOKUP(Tabela4[[#This Row],[ID_Produto]],Tabela_produto,3,FALSE)</f>
        <v>Informática</v>
      </c>
      <c r="G24" s="16">
        <f>VLOOKUP(Tabela4[[#This Row],[ID_Produto]],Tabela_produto,4,FALSE)</f>
        <v>850</v>
      </c>
      <c r="H24" s="17">
        <f>Tabela4[[#This Row],[Quantidade]]*Tabela4[[#This Row],[Preço Unitário]]</f>
        <v>850</v>
      </c>
    </row>
    <row r="25" spans="1:8" ht="17.25" x14ac:dyDescent="0.3">
      <c r="A25" s="1">
        <v>24</v>
      </c>
      <c r="B25" s="1">
        <v>12</v>
      </c>
      <c r="C25" s="1">
        <v>5</v>
      </c>
      <c r="D25" s="14">
        <v>45211</v>
      </c>
      <c r="E25" s="15" t="str">
        <f>VLOOKUP(Tabela4[[#This Row],[ID_Produto]],Tabela_produto,2,FALSE)</f>
        <v>Papel Sulfite A4 (Resma)</v>
      </c>
      <c r="F25" s="15" t="str">
        <f>VLOOKUP(Tabela4[[#This Row],[ID_Produto]],Tabela_produto,3,FALSE)</f>
        <v>Papelaria</v>
      </c>
      <c r="G25" s="16">
        <f>VLOOKUP(Tabela4[[#This Row],[ID_Produto]],Tabela_produto,4,FALSE)</f>
        <v>28</v>
      </c>
      <c r="H25" s="17">
        <f>Tabela4[[#This Row],[Quantidade]]*Tabela4[[#This Row],[Preço Unitário]]</f>
        <v>140</v>
      </c>
    </row>
    <row r="26" spans="1:8" ht="17.25" x14ac:dyDescent="0.3">
      <c r="A26" s="1">
        <v>25</v>
      </c>
      <c r="B26" s="1">
        <v>5</v>
      </c>
      <c r="C26" s="1">
        <v>1</v>
      </c>
      <c r="D26" s="14">
        <v>45212</v>
      </c>
      <c r="E26" s="15" t="str">
        <f>VLOOKUP(Tabela4[[#This Row],[ID_Produto]],Tabela_produto,2,FALSE)</f>
        <v>Mesa em L</v>
      </c>
      <c r="F26" s="15" t="str">
        <f>VLOOKUP(Tabela4[[#This Row],[ID_Produto]],Tabela_produto,3,FALSE)</f>
        <v>Móveis</v>
      </c>
      <c r="G26" s="16">
        <f>VLOOKUP(Tabela4[[#This Row],[ID_Produto]],Tabela_produto,4,FALSE)</f>
        <v>450</v>
      </c>
      <c r="H26" s="17">
        <f>Tabela4[[#This Row],[Quantidade]]*Tabela4[[#This Row],[Preço Unitário]]</f>
        <v>450</v>
      </c>
    </row>
    <row r="27" spans="1:8" ht="17.25" x14ac:dyDescent="0.3">
      <c r="A27" s="1">
        <v>26</v>
      </c>
      <c r="B27" s="1">
        <v>7</v>
      </c>
      <c r="C27" s="1">
        <v>20</v>
      </c>
      <c r="D27" s="14">
        <v>45212</v>
      </c>
      <c r="E27" s="15" t="str">
        <f>VLOOKUP(Tabela4[[#This Row],[ID_Produto]],Tabela_produto,2,FALSE)</f>
        <v>Caneta Esferográfica Azul</v>
      </c>
      <c r="F27" s="15" t="str">
        <f>VLOOKUP(Tabela4[[#This Row],[ID_Produto]],Tabela_produto,3,FALSE)</f>
        <v>Papelaria</v>
      </c>
      <c r="G27" s="16">
        <f>VLOOKUP(Tabela4[[#This Row],[ID_Produto]],Tabela_produto,4,FALSE)</f>
        <v>2</v>
      </c>
      <c r="H27" s="17">
        <f>Tabela4[[#This Row],[Quantidade]]*Tabela4[[#This Row],[Preço Unitário]]</f>
        <v>40</v>
      </c>
    </row>
    <row r="28" spans="1:8" ht="17.25" x14ac:dyDescent="0.3">
      <c r="A28" s="1">
        <v>27</v>
      </c>
      <c r="B28" s="1">
        <v>9</v>
      </c>
      <c r="C28" s="1">
        <v>1</v>
      </c>
      <c r="D28" s="14">
        <v>45213</v>
      </c>
      <c r="E28" s="15" t="str">
        <f>VLOOKUP(Tabela4[[#This Row],[ID_Produto]],Tabela_produto,2,FALSE)</f>
        <v>Headset Bluetooth</v>
      </c>
      <c r="F28" s="15" t="str">
        <f>VLOOKUP(Tabela4[[#This Row],[ID_Produto]],Tabela_produto,3,FALSE)</f>
        <v>Eletrônicos</v>
      </c>
      <c r="G28" s="16">
        <f>VLOOKUP(Tabela4[[#This Row],[ID_Produto]],Tabela_produto,4,FALSE)</f>
        <v>300</v>
      </c>
      <c r="H28" s="17">
        <f>Tabela4[[#This Row],[Quantidade]]*Tabela4[[#This Row],[Preço Unitário]]</f>
        <v>300</v>
      </c>
    </row>
    <row r="29" spans="1:8" ht="17.25" x14ac:dyDescent="0.3">
      <c r="A29" s="1">
        <v>28</v>
      </c>
      <c r="B29" s="1">
        <v>20</v>
      </c>
      <c r="C29" s="1">
        <v>10</v>
      </c>
      <c r="D29" s="14">
        <v>45213</v>
      </c>
      <c r="E29" s="15" t="str">
        <f>VLOOKUP(Tabela4[[#This Row],[ID_Produto]],Tabela_produto,2,FALSE)</f>
        <v>Cabo HDMI 2m</v>
      </c>
      <c r="F29" s="15" t="str">
        <f>VLOOKUP(Tabela4[[#This Row],[ID_Produto]],Tabela_produto,3,FALSE)</f>
        <v>Eletrônicos</v>
      </c>
      <c r="G29" s="16">
        <f>VLOOKUP(Tabela4[[#This Row],[ID_Produto]],Tabela_produto,4,FALSE)</f>
        <v>30</v>
      </c>
      <c r="H29" s="17">
        <f>Tabela4[[#This Row],[Quantidade]]*Tabela4[[#This Row],[Preço Unitário]]</f>
        <v>300</v>
      </c>
    </row>
    <row r="30" spans="1:8" ht="17.25" x14ac:dyDescent="0.3">
      <c r="A30" s="1">
        <v>29</v>
      </c>
      <c r="B30" s="1">
        <v>15</v>
      </c>
      <c r="C30" s="1">
        <v>3</v>
      </c>
      <c r="D30" s="14">
        <v>45214</v>
      </c>
      <c r="E30" s="15" t="str">
        <f>VLOOKUP(Tabela4[[#This Row],[ID_Produto]],Tabela_produto,2,FALSE)</f>
        <v>Calculadora Científica</v>
      </c>
      <c r="F30" s="15" t="str">
        <f>VLOOKUP(Tabela4[[#This Row],[ID_Produto]],Tabela_produto,3,FALSE)</f>
        <v>Papelaria</v>
      </c>
      <c r="G30" s="16">
        <f>VLOOKUP(Tabela4[[#This Row],[ID_Produto]],Tabela_produto,4,FALSE)</f>
        <v>90</v>
      </c>
      <c r="H30" s="17">
        <f>Tabela4[[#This Row],[Quantidade]]*Tabela4[[#This Row],[Preço Unitário]]</f>
        <v>270</v>
      </c>
    </row>
    <row r="31" spans="1:8" ht="17.25" x14ac:dyDescent="0.3">
      <c r="A31" s="1">
        <v>30</v>
      </c>
      <c r="B31" s="1">
        <v>1</v>
      </c>
      <c r="C31" s="1">
        <v>1</v>
      </c>
      <c r="D31" s="14">
        <v>45214</v>
      </c>
      <c r="E31" s="15" t="str">
        <f>VLOOKUP(Tabela4[[#This Row],[ID_Produto]],Tabela_produto,2,FALSE)</f>
        <v>Teclado Mecânico</v>
      </c>
      <c r="F31" s="15" t="str">
        <f>VLOOKUP(Tabela4[[#This Row],[ID_Produto]],Tabela_produto,3,FALSE)</f>
        <v>Informática</v>
      </c>
      <c r="G31" s="16">
        <f>VLOOKUP(Tabela4[[#This Row],[ID_Produto]],Tabela_produto,4,FALSE)</f>
        <v>250</v>
      </c>
      <c r="H31" s="17">
        <f>Tabela4[[#This Row],[Quantidade]]*Tabela4[[#This Row],[Preço Unitário]]</f>
        <v>250</v>
      </c>
    </row>
    <row r="32" spans="1:8" ht="17.25" x14ac:dyDescent="0.3">
      <c r="A32" s="1">
        <v>31</v>
      </c>
      <c r="B32" s="1">
        <v>4</v>
      </c>
      <c r="C32" s="1">
        <v>2</v>
      </c>
      <c r="D32" s="14">
        <v>45215</v>
      </c>
      <c r="E32" s="15" t="str">
        <f>VLOOKUP(Tabela4[[#This Row],[ID_Produto]],Tabela_produto,2,FALSE)</f>
        <v>Cadeira de Escritório</v>
      </c>
      <c r="F32" s="15" t="str">
        <f>VLOOKUP(Tabela4[[#This Row],[ID_Produto]],Tabela_produto,3,FALSE)</f>
        <v>Móveis</v>
      </c>
      <c r="G32" s="16">
        <f>VLOOKUP(Tabela4[[#This Row],[ID_Produto]],Tabela_produto,4,FALSE)</f>
        <v>600</v>
      </c>
      <c r="H32" s="17">
        <f>Tabela4[[#This Row],[Quantidade]]*Tabela4[[#This Row],[Preço Unitário]]</f>
        <v>1200</v>
      </c>
    </row>
    <row r="33" spans="1:8" ht="17.25" x14ac:dyDescent="0.3">
      <c r="A33" s="1">
        <v>32</v>
      </c>
      <c r="B33" s="1">
        <v>8</v>
      </c>
      <c r="C33" s="1">
        <v>10</v>
      </c>
      <c r="D33" s="14">
        <v>45215</v>
      </c>
      <c r="E33" s="15" t="str">
        <f>VLOOKUP(Tabela4[[#This Row],[ID_Produto]],Tabela_produto,2,FALSE)</f>
        <v>Marcador de Texto</v>
      </c>
      <c r="F33" s="15" t="str">
        <f>VLOOKUP(Tabela4[[#This Row],[ID_Produto]],Tabela_produto,3,FALSE)</f>
        <v>Papelaria</v>
      </c>
      <c r="G33" s="16">
        <f>VLOOKUP(Tabela4[[#This Row],[ID_Produto]],Tabela_produto,4,FALSE)</f>
        <v>5</v>
      </c>
      <c r="H33" s="17">
        <f>Tabela4[[#This Row],[Quantidade]]*Tabela4[[#This Row],[Preço Unitário]]</f>
        <v>50</v>
      </c>
    </row>
    <row r="34" spans="1:8" ht="17.25" x14ac:dyDescent="0.3">
      <c r="A34" s="1">
        <v>33</v>
      </c>
      <c r="B34" s="1">
        <v>11</v>
      </c>
      <c r="C34" s="1">
        <v>1</v>
      </c>
      <c r="D34" s="14">
        <v>45216</v>
      </c>
      <c r="E34" s="15" t="str">
        <f>VLOOKUP(Tabela4[[#This Row],[ID_Produto]],Tabela_produto,2,FALSE)</f>
        <v>Impressora Multifuncional</v>
      </c>
      <c r="F34" s="15" t="str">
        <f>VLOOKUP(Tabela4[[#This Row],[ID_Produto]],Tabela_produto,3,FALSE)</f>
        <v>Informática</v>
      </c>
      <c r="G34" s="16">
        <f>VLOOKUP(Tabela4[[#This Row],[ID_Produto]],Tabela_produto,4,FALSE)</f>
        <v>700</v>
      </c>
      <c r="H34" s="17">
        <f>Tabela4[[#This Row],[Quantidade]]*Tabela4[[#This Row],[Preço Unitário]]</f>
        <v>700</v>
      </c>
    </row>
    <row r="35" spans="1:8" ht="17.25" x14ac:dyDescent="0.3">
      <c r="A35" s="1">
        <v>34</v>
      </c>
      <c r="B35" s="1">
        <v>18</v>
      </c>
      <c r="C35" s="1">
        <v>2</v>
      </c>
      <c r="D35" s="14">
        <v>45216</v>
      </c>
      <c r="E35" s="15" t="str">
        <f>VLOOKUP(Tabela4[[#This Row],[ID_Produto]],Tabela_produto,2,FALSE)</f>
        <v>Mochila para Notebook</v>
      </c>
      <c r="F35" s="15" t="str">
        <f>VLOOKUP(Tabela4[[#This Row],[ID_Produto]],Tabela_produto,3,FALSE)</f>
        <v>Acessórios</v>
      </c>
      <c r="G35" s="16">
        <f>VLOOKUP(Tabela4[[#This Row],[ID_Produto]],Tabela_produto,4,FALSE)</f>
        <v>150</v>
      </c>
      <c r="H35" s="17">
        <f>Tabela4[[#This Row],[Quantidade]]*Tabela4[[#This Row],[Preço Unitário]]</f>
        <v>300</v>
      </c>
    </row>
    <row r="36" spans="1:8" ht="17.25" x14ac:dyDescent="0.3">
      <c r="A36" s="1">
        <v>35</v>
      </c>
      <c r="B36" s="1">
        <v>16</v>
      </c>
      <c r="C36" s="1">
        <v>1</v>
      </c>
      <c r="D36" s="14">
        <v>45217</v>
      </c>
      <c r="E36" s="15" t="str">
        <f>VLOOKUP(Tabela4[[#This Row],[ID_Produto]],Tabela_produto,2,FALSE)</f>
        <v>SSD 1TB</v>
      </c>
      <c r="F36" s="15" t="str">
        <f>VLOOKUP(Tabela4[[#This Row],[ID_Produto]],Tabela_produto,3,FALSE)</f>
        <v>Informática</v>
      </c>
      <c r="G36" s="16">
        <f>VLOOKUP(Tabela4[[#This Row],[ID_Produto]],Tabela_produto,4,FALSE)</f>
        <v>400</v>
      </c>
      <c r="H36" s="17">
        <f>Tabela4[[#This Row],[Quantidade]]*Tabela4[[#This Row],[Preço Unitário]]</f>
        <v>400</v>
      </c>
    </row>
    <row r="37" spans="1:8" ht="17.25" x14ac:dyDescent="0.3">
      <c r="A37" s="1">
        <v>36</v>
      </c>
      <c r="B37" s="1">
        <v>6</v>
      </c>
      <c r="C37" s="1">
        <v>8</v>
      </c>
      <c r="D37" s="14">
        <v>45217</v>
      </c>
      <c r="E37" s="15" t="str">
        <f>VLOOKUP(Tabela4[[#This Row],[ID_Produto]],Tabela_produto,2,FALSE)</f>
        <v>Caderno 10 Matérias</v>
      </c>
      <c r="F37" s="15" t="str">
        <f>VLOOKUP(Tabela4[[#This Row],[ID_Produto]],Tabela_produto,3,FALSE)</f>
        <v>Papelaria</v>
      </c>
      <c r="G37" s="16">
        <f>VLOOKUP(Tabela4[[#This Row],[ID_Produto]],Tabela_produto,4,FALSE)</f>
        <v>25.5</v>
      </c>
      <c r="H37" s="17">
        <f>Tabela4[[#This Row],[Quantidade]]*Tabela4[[#This Row],[Preço Unitário]]</f>
        <v>204</v>
      </c>
    </row>
    <row r="38" spans="1:8" ht="17.25" x14ac:dyDescent="0.3">
      <c r="A38" s="1">
        <v>37</v>
      </c>
      <c r="B38" s="1">
        <v>19</v>
      </c>
      <c r="C38" s="1">
        <v>2</v>
      </c>
      <c r="D38" s="14">
        <v>45218</v>
      </c>
      <c r="E38" s="15" t="str">
        <f>VLOOKUP(Tabela4[[#This Row],[ID_Produto]],Tabela_produto,2,FALSE)</f>
        <v>Suporte para Monitor</v>
      </c>
      <c r="F38" s="15" t="str">
        <f>VLOOKUP(Tabela4[[#This Row],[ID_Produto]],Tabela_produto,3,FALSE)</f>
        <v>Acessórios</v>
      </c>
      <c r="G38" s="16">
        <f>VLOOKUP(Tabela4[[#This Row],[ID_Produto]],Tabela_produto,4,FALSE)</f>
        <v>65</v>
      </c>
      <c r="H38" s="17">
        <f>Tabela4[[#This Row],[Quantidade]]*Tabela4[[#This Row],[Preço Unitário]]</f>
        <v>130</v>
      </c>
    </row>
    <row r="39" spans="1:8" ht="17.25" x14ac:dyDescent="0.3">
      <c r="A39" s="1">
        <v>38</v>
      </c>
      <c r="B39" s="1">
        <v>14</v>
      </c>
      <c r="C39" s="1">
        <v>1</v>
      </c>
      <c r="D39" s="14">
        <v>45218</v>
      </c>
      <c r="E39" s="15" t="str">
        <f>VLOOKUP(Tabela4[[#This Row],[ID_Produto]],Tabela_produto,2,FALSE)</f>
        <v>Luminária de Mesa</v>
      </c>
      <c r="F39" s="15" t="str">
        <f>VLOOKUP(Tabela4[[#This Row],[ID_Produto]],Tabela_produto,3,FALSE)</f>
        <v>Móveis</v>
      </c>
      <c r="G39" s="16">
        <f>VLOOKUP(Tabela4[[#This Row],[ID_Produto]],Tabela_produto,4,FALSE)</f>
        <v>85</v>
      </c>
      <c r="H39" s="17">
        <f>Tabela4[[#This Row],[Quantidade]]*Tabela4[[#This Row],[Preço Unitário]]</f>
        <v>85</v>
      </c>
    </row>
    <row r="40" spans="1:8" ht="17.25" x14ac:dyDescent="0.3">
      <c r="A40" s="1">
        <v>39</v>
      </c>
      <c r="B40" s="1">
        <v>10</v>
      </c>
      <c r="C40" s="1">
        <v>2</v>
      </c>
      <c r="D40" s="14">
        <v>45219</v>
      </c>
      <c r="E40" s="15" t="str">
        <f>VLOOKUP(Tabela4[[#This Row],[ID_Produto]],Tabela_produto,2,FALSE)</f>
        <v>Webcam Full HD</v>
      </c>
      <c r="F40" s="15" t="str">
        <f>VLOOKUP(Tabela4[[#This Row],[ID_Produto]],Tabela_produto,3,FALSE)</f>
        <v>Informática</v>
      </c>
      <c r="G40" s="16">
        <f>VLOOKUP(Tabela4[[#This Row],[ID_Produto]],Tabela_produto,4,FALSE)</f>
        <v>180</v>
      </c>
      <c r="H40" s="17">
        <f>Tabela4[[#This Row],[Quantidade]]*Tabela4[[#This Row],[Preço Unitário]]</f>
        <v>360</v>
      </c>
    </row>
    <row r="41" spans="1:8" ht="17.25" x14ac:dyDescent="0.3">
      <c r="A41" s="1">
        <v>40</v>
      </c>
      <c r="B41" s="1">
        <v>13</v>
      </c>
      <c r="C41" s="1">
        <v>1</v>
      </c>
      <c r="D41" s="14">
        <v>45219</v>
      </c>
      <c r="E41" s="15" t="str">
        <f>VLOOKUP(Tabela4[[#This Row],[ID_Produto]],Tabela_produto,2,FALSE)</f>
        <v>Estante de Livros</v>
      </c>
      <c r="F41" s="15" t="str">
        <f>VLOOKUP(Tabela4[[#This Row],[ID_Produto]],Tabela_produto,3,FALSE)</f>
        <v>Móveis</v>
      </c>
      <c r="G41" s="16">
        <f>VLOOKUP(Tabela4[[#This Row],[ID_Produto]],Tabela_produto,4,FALSE)</f>
        <v>350</v>
      </c>
      <c r="H41" s="17">
        <f>Tabela4[[#This Row],[Quantidade]]*Tabela4[[#This Row],[Preço Unitário]]</f>
        <v>350</v>
      </c>
    </row>
    <row r="42" spans="1:8" ht="17.25" x14ac:dyDescent="0.3">
      <c r="A42" s="1">
        <v>41</v>
      </c>
      <c r="B42" s="1">
        <v>2</v>
      </c>
      <c r="C42" s="1">
        <v>5</v>
      </c>
      <c r="D42" s="14">
        <v>45220</v>
      </c>
      <c r="E42" s="15" t="str">
        <f>VLOOKUP(Tabela4[[#This Row],[ID_Produto]],Tabela_produto,2,FALSE)</f>
        <v>Mouse Gamer</v>
      </c>
      <c r="F42" s="15" t="str">
        <f>VLOOKUP(Tabela4[[#This Row],[ID_Produto]],Tabela_produto,3,FALSE)</f>
        <v>Informática</v>
      </c>
      <c r="G42" s="16">
        <f>VLOOKUP(Tabela4[[#This Row],[ID_Produto]],Tabela_produto,4,FALSE)</f>
        <v>120</v>
      </c>
      <c r="H42" s="17">
        <f>Tabela4[[#This Row],[Quantidade]]*Tabela4[[#This Row],[Preço Unitário]]</f>
        <v>600</v>
      </c>
    </row>
    <row r="43" spans="1:8" ht="17.25" x14ac:dyDescent="0.3">
      <c r="A43" s="1">
        <v>42</v>
      </c>
      <c r="B43" s="1">
        <v>17</v>
      </c>
      <c r="C43" s="1">
        <v>1</v>
      </c>
      <c r="D43" s="14">
        <v>45220</v>
      </c>
      <c r="E43" s="15" t="str">
        <f>VLOOKUP(Tabela4[[#This Row],[ID_Produto]],Tabela_produto,2,FALSE)</f>
        <v>Memória RAM 16GB</v>
      </c>
      <c r="F43" s="15" t="str">
        <f>VLOOKUP(Tabela4[[#This Row],[ID_Produto]],Tabela_produto,3,FALSE)</f>
        <v>Informática</v>
      </c>
      <c r="G43" s="16">
        <f>VLOOKUP(Tabela4[[#This Row],[ID_Produto]],Tabela_produto,4,FALSE)</f>
        <v>320</v>
      </c>
      <c r="H43" s="17">
        <f>Tabela4[[#This Row],[Quantidade]]*Tabela4[[#This Row],[Preço Unitário]]</f>
        <v>320</v>
      </c>
    </row>
    <row r="44" spans="1:8" ht="17.25" x14ac:dyDescent="0.3">
      <c r="A44" s="1">
        <v>43</v>
      </c>
      <c r="B44" s="1">
        <v>3</v>
      </c>
      <c r="C44" s="1">
        <v>2</v>
      </c>
      <c r="D44" s="14">
        <v>45221</v>
      </c>
      <c r="E44" s="15" t="str">
        <f>VLOOKUP(Tabela4[[#This Row],[ID_Produto]],Tabela_produto,2,FALSE)</f>
        <v>Monitor 24"</v>
      </c>
      <c r="F44" s="15" t="str">
        <f>VLOOKUP(Tabela4[[#This Row],[ID_Produto]],Tabela_produto,3,FALSE)</f>
        <v>Informática</v>
      </c>
      <c r="G44" s="16">
        <f>VLOOKUP(Tabela4[[#This Row],[ID_Produto]],Tabela_produto,4,FALSE)</f>
        <v>850</v>
      </c>
      <c r="H44" s="17">
        <f>Tabela4[[#This Row],[Quantidade]]*Tabela4[[#This Row],[Preço Unitário]]</f>
        <v>1700</v>
      </c>
    </row>
    <row r="45" spans="1:8" ht="17.25" x14ac:dyDescent="0.3">
      <c r="A45" s="1">
        <v>44</v>
      </c>
      <c r="B45" s="1">
        <v>12</v>
      </c>
      <c r="C45" s="1">
        <v>15</v>
      </c>
      <c r="D45" s="14">
        <v>45221</v>
      </c>
      <c r="E45" s="15" t="str">
        <f>VLOOKUP(Tabela4[[#This Row],[ID_Produto]],Tabela_produto,2,FALSE)</f>
        <v>Papel Sulfite A4 (Resma)</v>
      </c>
      <c r="F45" s="15" t="str">
        <f>VLOOKUP(Tabela4[[#This Row],[ID_Produto]],Tabela_produto,3,FALSE)</f>
        <v>Papelaria</v>
      </c>
      <c r="G45" s="16">
        <f>VLOOKUP(Tabela4[[#This Row],[ID_Produto]],Tabela_produto,4,FALSE)</f>
        <v>28</v>
      </c>
      <c r="H45" s="17">
        <f>Tabela4[[#This Row],[Quantidade]]*Tabela4[[#This Row],[Preço Unitário]]</f>
        <v>420</v>
      </c>
    </row>
    <row r="46" spans="1:8" ht="17.25" x14ac:dyDescent="0.3">
      <c r="A46" s="1">
        <v>45</v>
      </c>
      <c r="B46" s="1">
        <v>5</v>
      </c>
      <c r="C46" s="1">
        <v>2</v>
      </c>
      <c r="D46" s="14">
        <v>45222</v>
      </c>
      <c r="E46" s="15" t="str">
        <f>VLOOKUP(Tabela4[[#This Row],[ID_Produto]],Tabela_produto,2,FALSE)</f>
        <v>Mesa em L</v>
      </c>
      <c r="F46" s="15" t="str">
        <f>VLOOKUP(Tabela4[[#This Row],[ID_Produto]],Tabela_produto,3,FALSE)</f>
        <v>Móveis</v>
      </c>
      <c r="G46" s="16">
        <f>VLOOKUP(Tabela4[[#This Row],[ID_Produto]],Tabela_produto,4,FALSE)</f>
        <v>450</v>
      </c>
      <c r="H46" s="17">
        <f>Tabela4[[#This Row],[Quantidade]]*Tabela4[[#This Row],[Preço Unitário]]</f>
        <v>900</v>
      </c>
    </row>
    <row r="47" spans="1:8" ht="17.25" x14ac:dyDescent="0.3">
      <c r="A47" s="1">
        <v>46</v>
      </c>
      <c r="B47" s="1">
        <v>7</v>
      </c>
      <c r="C47" s="1">
        <v>30</v>
      </c>
      <c r="D47" s="14">
        <v>45222</v>
      </c>
      <c r="E47" s="15" t="str">
        <f>VLOOKUP(Tabela4[[#This Row],[ID_Produto]],Tabela_produto,2,FALSE)</f>
        <v>Caneta Esferográfica Azul</v>
      </c>
      <c r="F47" s="15" t="str">
        <f>VLOOKUP(Tabela4[[#This Row],[ID_Produto]],Tabela_produto,3,FALSE)</f>
        <v>Papelaria</v>
      </c>
      <c r="G47" s="16">
        <f>VLOOKUP(Tabela4[[#This Row],[ID_Produto]],Tabela_produto,4,FALSE)</f>
        <v>2</v>
      </c>
      <c r="H47" s="17">
        <f>Tabela4[[#This Row],[Quantidade]]*Tabela4[[#This Row],[Preço Unitário]]</f>
        <v>60</v>
      </c>
    </row>
    <row r="48" spans="1:8" ht="17.25" x14ac:dyDescent="0.3">
      <c r="A48" s="1">
        <v>47</v>
      </c>
      <c r="B48" s="1">
        <v>9</v>
      </c>
      <c r="C48" s="1">
        <v>3</v>
      </c>
      <c r="D48" s="14">
        <v>45223</v>
      </c>
      <c r="E48" s="15" t="str">
        <f>VLOOKUP(Tabela4[[#This Row],[ID_Produto]],Tabela_produto,2,FALSE)</f>
        <v>Headset Bluetooth</v>
      </c>
      <c r="F48" s="15" t="str">
        <f>VLOOKUP(Tabela4[[#This Row],[ID_Produto]],Tabela_produto,3,FALSE)</f>
        <v>Eletrônicos</v>
      </c>
      <c r="G48" s="16">
        <f>VLOOKUP(Tabela4[[#This Row],[ID_Produto]],Tabela_produto,4,FALSE)</f>
        <v>300</v>
      </c>
      <c r="H48" s="17">
        <f>Tabela4[[#This Row],[Quantidade]]*Tabela4[[#This Row],[Preço Unitário]]</f>
        <v>900</v>
      </c>
    </row>
    <row r="49" spans="1:8" ht="17.25" x14ac:dyDescent="0.3">
      <c r="A49" s="1">
        <v>48</v>
      </c>
      <c r="B49" s="1">
        <v>20</v>
      </c>
      <c r="C49" s="1">
        <v>12</v>
      </c>
      <c r="D49" s="14">
        <v>45223</v>
      </c>
      <c r="E49" s="15" t="str">
        <f>VLOOKUP(Tabela4[[#This Row],[ID_Produto]],Tabela_produto,2,FALSE)</f>
        <v>Cabo HDMI 2m</v>
      </c>
      <c r="F49" s="15" t="str">
        <f>VLOOKUP(Tabela4[[#This Row],[ID_Produto]],Tabela_produto,3,FALSE)</f>
        <v>Eletrônicos</v>
      </c>
      <c r="G49" s="16">
        <f>VLOOKUP(Tabela4[[#This Row],[ID_Produto]],Tabela_produto,4,FALSE)</f>
        <v>30</v>
      </c>
      <c r="H49" s="17">
        <f>Tabela4[[#This Row],[Quantidade]]*Tabela4[[#This Row],[Preço Unitário]]</f>
        <v>360</v>
      </c>
    </row>
    <row r="50" spans="1:8" ht="17.25" x14ac:dyDescent="0.3">
      <c r="A50" s="1">
        <v>49</v>
      </c>
      <c r="B50" s="1">
        <v>15</v>
      </c>
      <c r="C50" s="1">
        <v>5</v>
      </c>
      <c r="D50" s="14">
        <v>45224</v>
      </c>
      <c r="E50" s="15" t="str">
        <f>VLOOKUP(Tabela4[[#This Row],[ID_Produto]],Tabela_produto,2,FALSE)</f>
        <v>Calculadora Científica</v>
      </c>
      <c r="F50" s="15" t="str">
        <f>VLOOKUP(Tabela4[[#This Row],[ID_Produto]],Tabela_produto,3,FALSE)</f>
        <v>Papelaria</v>
      </c>
      <c r="G50" s="16">
        <f>VLOOKUP(Tabela4[[#This Row],[ID_Produto]],Tabela_produto,4,FALSE)</f>
        <v>90</v>
      </c>
      <c r="H50" s="17">
        <f>Tabela4[[#This Row],[Quantidade]]*Tabela4[[#This Row],[Preço Unitário]]</f>
        <v>450</v>
      </c>
    </row>
    <row r="51" spans="1:8" ht="17.25" x14ac:dyDescent="0.3">
      <c r="A51" s="1">
        <v>50</v>
      </c>
      <c r="B51" s="1">
        <v>1</v>
      </c>
      <c r="C51" s="1">
        <v>3</v>
      </c>
      <c r="D51" s="14">
        <v>45224</v>
      </c>
      <c r="E51" s="15" t="str">
        <f>VLOOKUP(Tabela4[[#This Row],[ID_Produto]],Tabela_produto,2,FALSE)</f>
        <v>Teclado Mecânico</v>
      </c>
      <c r="F51" s="15" t="str">
        <f>VLOOKUP(Tabela4[[#This Row],[ID_Produto]],Tabela_produto,3,FALSE)</f>
        <v>Informática</v>
      </c>
      <c r="G51" s="16">
        <f>VLOOKUP(Tabela4[[#This Row],[ID_Produto]],Tabela_produto,4,FALSE)</f>
        <v>250</v>
      </c>
      <c r="H51" s="17">
        <f>Tabela4[[#This Row],[Quantidade]]*Tabela4[[#This Row],[Preço Unitário]]</f>
        <v>750</v>
      </c>
    </row>
    <row r="52" spans="1:8" ht="17.25" x14ac:dyDescent="0.3">
      <c r="A52" s="1">
        <v>51</v>
      </c>
      <c r="B52" s="1">
        <v>4</v>
      </c>
      <c r="C52" s="1">
        <v>1</v>
      </c>
      <c r="D52" s="14">
        <v>45225</v>
      </c>
      <c r="E52" s="15" t="str">
        <f>VLOOKUP(Tabela4[[#This Row],[ID_Produto]],Tabela_produto,2,FALSE)</f>
        <v>Cadeira de Escritório</v>
      </c>
      <c r="F52" s="15" t="str">
        <f>VLOOKUP(Tabela4[[#This Row],[ID_Produto]],Tabela_produto,3,FALSE)</f>
        <v>Móveis</v>
      </c>
      <c r="G52" s="16">
        <f>VLOOKUP(Tabela4[[#This Row],[ID_Produto]],Tabela_produto,4,FALSE)</f>
        <v>600</v>
      </c>
      <c r="H52" s="17">
        <f>Tabela4[[#This Row],[Quantidade]]*Tabela4[[#This Row],[Preço Unitário]]</f>
        <v>600</v>
      </c>
    </row>
    <row r="53" spans="1:8" ht="17.25" x14ac:dyDescent="0.3">
      <c r="A53" s="1">
        <v>52</v>
      </c>
      <c r="B53" s="1">
        <v>8</v>
      </c>
      <c r="C53" s="1">
        <v>20</v>
      </c>
      <c r="D53" s="14">
        <v>45225</v>
      </c>
      <c r="E53" s="15" t="str">
        <f>VLOOKUP(Tabela4[[#This Row],[ID_Produto]],Tabela_produto,2,FALSE)</f>
        <v>Marcador de Texto</v>
      </c>
      <c r="F53" s="15" t="str">
        <f>VLOOKUP(Tabela4[[#This Row],[ID_Produto]],Tabela_produto,3,FALSE)</f>
        <v>Papelaria</v>
      </c>
      <c r="G53" s="16">
        <f>VLOOKUP(Tabela4[[#This Row],[ID_Produto]],Tabela_produto,4,FALSE)</f>
        <v>5</v>
      </c>
      <c r="H53" s="17">
        <f>Tabela4[[#This Row],[Quantidade]]*Tabela4[[#This Row],[Preço Unitário]]</f>
        <v>100</v>
      </c>
    </row>
    <row r="54" spans="1:8" ht="17.25" x14ac:dyDescent="0.3">
      <c r="A54" s="1">
        <v>53</v>
      </c>
      <c r="B54" s="1">
        <v>11</v>
      </c>
      <c r="C54" s="1">
        <v>2</v>
      </c>
      <c r="D54" s="14">
        <v>45226</v>
      </c>
      <c r="E54" s="15" t="str">
        <f>VLOOKUP(Tabela4[[#This Row],[ID_Produto]],Tabela_produto,2,FALSE)</f>
        <v>Impressora Multifuncional</v>
      </c>
      <c r="F54" s="15" t="str">
        <f>VLOOKUP(Tabela4[[#This Row],[ID_Produto]],Tabela_produto,3,FALSE)</f>
        <v>Informática</v>
      </c>
      <c r="G54" s="16">
        <f>VLOOKUP(Tabela4[[#This Row],[ID_Produto]],Tabela_produto,4,FALSE)</f>
        <v>700</v>
      </c>
      <c r="H54" s="17">
        <f>Tabela4[[#This Row],[Quantidade]]*Tabela4[[#This Row],[Preço Unitário]]</f>
        <v>1400</v>
      </c>
    </row>
    <row r="55" spans="1:8" ht="17.25" x14ac:dyDescent="0.3">
      <c r="A55" s="1">
        <v>54</v>
      </c>
      <c r="B55" s="1">
        <v>18</v>
      </c>
      <c r="C55" s="1">
        <v>3</v>
      </c>
      <c r="D55" s="14">
        <v>45226</v>
      </c>
      <c r="E55" s="15" t="str">
        <f>VLOOKUP(Tabela4[[#This Row],[ID_Produto]],Tabela_produto,2,FALSE)</f>
        <v>Mochila para Notebook</v>
      </c>
      <c r="F55" s="15" t="str">
        <f>VLOOKUP(Tabela4[[#This Row],[ID_Produto]],Tabela_produto,3,FALSE)</f>
        <v>Acessórios</v>
      </c>
      <c r="G55" s="16">
        <f>VLOOKUP(Tabela4[[#This Row],[ID_Produto]],Tabela_produto,4,FALSE)</f>
        <v>150</v>
      </c>
      <c r="H55" s="17">
        <f>Tabela4[[#This Row],[Quantidade]]*Tabela4[[#This Row],[Preço Unitário]]</f>
        <v>450</v>
      </c>
    </row>
    <row r="56" spans="1:8" ht="17.25" x14ac:dyDescent="0.3">
      <c r="A56" s="1">
        <v>55</v>
      </c>
      <c r="B56" s="1">
        <v>16</v>
      </c>
      <c r="C56" s="1">
        <v>2</v>
      </c>
      <c r="D56" s="14">
        <v>45227</v>
      </c>
      <c r="E56" s="15" t="str">
        <f>VLOOKUP(Tabela4[[#This Row],[ID_Produto]],Tabela_produto,2,FALSE)</f>
        <v>SSD 1TB</v>
      </c>
      <c r="F56" s="15" t="str">
        <f>VLOOKUP(Tabela4[[#This Row],[ID_Produto]],Tabela_produto,3,FALSE)</f>
        <v>Informática</v>
      </c>
      <c r="G56" s="16">
        <f>VLOOKUP(Tabela4[[#This Row],[ID_Produto]],Tabela_produto,4,FALSE)</f>
        <v>400</v>
      </c>
      <c r="H56" s="17">
        <f>Tabela4[[#This Row],[Quantidade]]*Tabela4[[#This Row],[Preço Unitário]]</f>
        <v>800</v>
      </c>
    </row>
    <row r="57" spans="1:8" ht="17.25" x14ac:dyDescent="0.3">
      <c r="A57" s="1">
        <v>56</v>
      </c>
      <c r="B57" s="1">
        <v>6</v>
      </c>
      <c r="C57" s="1">
        <v>10</v>
      </c>
      <c r="D57" s="14">
        <v>45227</v>
      </c>
      <c r="E57" s="15" t="str">
        <f>VLOOKUP(Tabela4[[#This Row],[ID_Produto]],Tabela_produto,2,FALSE)</f>
        <v>Caderno 10 Matérias</v>
      </c>
      <c r="F57" s="15" t="str">
        <f>VLOOKUP(Tabela4[[#This Row],[ID_Produto]],Tabela_produto,3,FALSE)</f>
        <v>Papelaria</v>
      </c>
      <c r="G57" s="16">
        <f>VLOOKUP(Tabela4[[#This Row],[ID_Produto]],Tabela_produto,4,FALSE)</f>
        <v>25.5</v>
      </c>
      <c r="H57" s="17">
        <f>Tabela4[[#This Row],[Quantidade]]*Tabela4[[#This Row],[Preço Unitário]]</f>
        <v>255</v>
      </c>
    </row>
    <row r="58" spans="1:8" ht="17.25" x14ac:dyDescent="0.3">
      <c r="A58" s="1">
        <v>57</v>
      </c>
      <c r="B58" s="1">
        <v>19</v>
      </c>
      <c r="C58" s="1">
        <v>4</v>
      </c>
      <c r="D58" s="14">
        <v>45228</v>
      </c>
      <c r="E58" s="15" t="str">
        <f>VLOOKUP(Tabela4[[#This Row],[ID_Produto]],Tabela_produto,2,FALSE)</f>
        <v>Suporte para Monitor</v>
      </c>
      <c r="F58" s="15" t="str">
        <f>VLOOKUP(Tabela4[[#This Row],[ID_Produto]],Tabela_produto,3,FALSE)</f>
        <v>Acessórios</v>
      </c>
      <c r="G58" s="16">
        <f>VLOOKUP(Tabela4[[#This Row],[ID_Produto]],Tabela_produto,4,FALSE)</f>
        <v>65</v>
      </c>
      <c r="H58" s="17">
        <f>Tabela4[[#This Row],[Quantidade]]*Tabela4[[#This Row],[Preço Unitário]]</f>
        <v>260</v>
      </c>
    </row>
    <row r="59" spans="1:8" ht="17.25" x14ac:dyDescent="0.3">
      <c r="A59" s="1">
        <v>58</v>
      </c>
      <c r="B59" s="1">
        <v>14</v>
      </c>
      <c r="C59" s="1">
        <v>3</v>
      </c>
      <c r="D59" s="14">
        <v>45228</v>
      </c>
      <c r="E59" s="15" t="str">
        <f>VLOOKUP(Tabela4[[#This Row],[ID_Produto]],Tabela_produto,2,FALSE)</f>
        <v>Luminária de Mesa</v>
      </c>
      <c r="F59" s="15" t="str">
        <f>VLOOKUP(Tabela4[[#This Row],[ID_Produto]],Tabela_produto,3,FALSE)</f>
        <v>Móveis</v>
      </c>
      <c r="G59" s="16">
        <f>VLOOKUP(Tabela4[[#This Row],[ID_Produto]],Tabela_produto,4,FALSE)</f>
        <v>85</v>
      </c>
      <c r="H59" s="17">
        <f>Tabela4[[#This Row],[Quantidade]]*Tabela4[[#This Row],[Preço Unitário]]</f>
        <v>255</v>
      </c>
    </row>
    <row r="60" spans="1:8" ht="17.25" x14ac:dyDescent="0.3">
      <c r="A60" s="1">
        <v>59</v>
      </c>
      <c r="B60" s="1">
        <v>10</v>
      </c>
      <c r="C60" s="1">
        <v>5</v>
      </c>
      <c r="D60" s="14">
        <v>45229</v>
      </c>
      <c r="E60" s="15" t="str">
        <f>VLOOKUP(Tabela4[[#This Row],[ID_Produto]],Tabela_produto,2,FALSE)</f>
        <v>Webcam Full HD</v>
      </c>
      <c r="F60" s="15" t="str">
        <f>VLOOKUP(Tabela4[[#This Row],[ID_Produto]],Tabela_produto,3,FALSE)</f>
        <v>Informática</v>
      </c>
      <c r="G60" s="16">
        <f>VLOOKUP(Tabela4[[#This Row],[ID_Produto]],Tabela_produto,4,FALSE)</f>
        <v>180</v>
      </c>
      <c r="H60" s="17">
        <f>Tabela4[[#This Row],[Quantidade]]*Tabela4[[#This Row],[Preço Unitário]]</f>
        <v>900</v>
      </c>
    </row>
    <row r="61" spans="1:8" ht="17.25" x14ac:dyDescent="0.3">
      <c r="A61" s="1">
        <v>60</v>
      </c>
      <c r="B61" s="1">
        <v>13</v>
      </c>
      <c r="C61" s="1">
        <v>2</v>
      </c>
      <c r="D61" s="14">
        <v>45229</v>
      </c>
      <c r="E61" s="15" t="str">
        <f>VLOOKUP(Tabela4[[#This Row],[ID_Produto]],Tabela_produto,2,FALSE)</f>
        <v>Estante de Livros</v>
      </c>
      <c r="F61" s="15" t="str">
        <f>VLOOKUP(Tabela4[[#This Row],[ID_Produto]],Tabela_produto,3,FALSE)</f>
        <v>Móveis</v>
      </c>
      <c r="G61" s="16">
        <f>VLOOKUP(Tabela4[[#This Row],[ID_Produto]],Tabela_produto,4,FALSE)</f>
        <v>350</v>
      </c>
      <c r="H61" s="17">
        <f>Tabela4[[#This Row],[Quantidade]]*Tabela4[[#This Row],[Preço Unitário]]</f>
        <v>700</v>
      </c>
    </row>
    <row r="62" spans="1:8" ht="17.25" x14ac:dyDescent="0.3">
      <c r="A62" s="1">
        <v>61</v>
      </c>
      <c r="B62" s="1">
        <v>2</v>
      </c>
      <c r="C62" s="1">
        <v>1</v>
      </c>
      <c r="D62" s="14">
        <v>45230</v>
      </c>
      <c r="E62" s="15" t="str">
        <f>VLOOKUP(Tabela4[[#This Row],[ID_Produto]],Tabela_produto,2,FALSE)</f>
        <v>Mouse Gamer</v>
      </c>
      <c r="F62" s="15" t="str">
        <f>VLOOKUP(Tabela4[[#This Row],[ID_Produto]],Tabela_produto,3,FALSE)</f>
        <v>Informática</v>
      </c>
      <c r="G62" s="16">
        <f>VLOOKUP(Tabela4[[#This Row],[ID_Produto]],Tabela_produto,4,FALSE)</f>
        <v>120</v>
      </c>
      <c r="H62" s="17">
        <f>Tabela4[[#This Row],[Quantidade]]*Tabela4[[#This Row],[Preço Unitário]]</f>
        <v>120</v>
      </c>
    </row>
    <row r="63" spans="1:8" ht="17.25" x14ac:dyDescent="0.3">
      <c r="A63" s="1">
        <v>62</v>
      </c>
      <c r="B63" s="1">
        <v>17</v>
      </c>
      <c r="C63" s="1">
        <v>3</v>
      </c>
      <c r="D63" s="14">
        <v>45230</v>
      </c>
      <c r="E63" s="15" t="str">
        <f>VLOOKUP(Tabela4[[#This Row],[ID_Produto]],Tabela_produto,2,FALSE)</f>
        <v>Memória RAM 16GB</v>
      </c>
      <c r="F63" s="15" t="str">
        <f>VLOOKUP(Tabela4[[#This Row],[ID_Produto]],Tabela_produto,3,FALSE)</f>
        <v>Informática</v>
      </c>
      <c r="G63" s="16">
        <f>VLOOKUP(Tabela4[[#This Row],[ID_Produto]],Tabela_produto,4,FALSE)</f>
        <v>320</v>
      </c>
      <c r="H63" s="17">
        <f>Tabela4[[#This Row],[Quantidade]]*Tabela4[[#This Row],[Preço Unitário]]</f>
        <v>960</v>
      </c>
    </row>
    <row r="64" spans="1:8" ht="17.25" x14ac:dyDescent="0.3">
      <c r="A64" s="1">
        <v>63</v>
      </c>
      <c r="B64" s="1">
        <v>3</v>
      </c>
      <c r="C64" s="1">
        <v>1</v>
      </c>
      <c r="D64" s="14">
        <v>45231</v>
      </c>
      <c r="E64" s="15" t="str">
        <f>VLOOKUP(Tabela4[[#This Row],[ID_Produto]],Tabela_produto,2,FALSE)</f>
        <v>Monitor 24"</v>
      </c>
      <c r="F64" s="15" t="str">
        <f>VLOOKUP(Tabela4[[#This Row],[ID_Produto]],Tabela_produto,3,FALSE)</f>
        <v>Informática</v>
      </c>
      <c r="G64" s="16">
        <f>VLOOKUP(Tabela4[[#This Row],[ID_Produto]],Tabela_produto,4,FALSE)</f>
        <v>850</v>
      </c>
      <c r="H64" s="17">
        <f>Tabela4[[#This Row],[Quantidade]]*Tabela4[[#This Row],[Preço Unitário]]</f>
        <v>850</v>
      </c>
    </row>
    <row r="65" spans="1:8" ht="17.25" x14ac:dyDescent="0.3">
      <c r="A65" s="1">
        <v>64</v>
      </c>
      <c r="B65" s="1">
        <v>12</v>
      </c>
      <c r="C65" s="1">
        <v>8</v>
      </c>
      <c r="D65" s="14">
        <v>45231</v>
      </c>
      <c r="E65" s="15" t="str">
        <f>VLOOKUP(Tabela4[[#This Row],[ID_Produto]],Tabela_produto,2,FALSE)</f>
        <v>Papel Sulfite A4 (Resma)</v>
      </c>
      <c r="F65" s="15" t="str">
        <f>VLOOKUP(Tabela4[[#This Row],[ID_Produto]],Tabela_produto,3,FALSE)</f>
        <v>Papelaria</v>
      </c>
      <c r="G65" s="16">
        <f>VLOOKUP(Tabela4[[#This Row],[ID_Produto]],Tabela_produto,4,FALSE)</f>
        <v>28</v>
      </c>
      <c r="H65" s="17">
        <f>Tabela4[[#This Row],[Quantidade]]*Tabela4[[#This Row],[Preço Unitário]]</f>
        <v>224</v>
      </c>
    </row>
    <row r="66" spans="1:8" ht="17.25" x14ac:dyDescent="0.3">
      <c r="A66" s="1">
        <v>65</v>
      </c>
      <c r="B66" s="1">
        <v>5</v>
      </c>
      <c r="C66" s="1">
        <v>1</v>
      </c>
      <c r="D66" s="14">
        <v>45232</v>
      </c>
      <c r="E66" s="15" t="str">
        <f>VLOOKUP(Tabela4[[#This Row],[ID_Produto]],Tabela_produto,2,FALSE)</f>
        <v>Mesa em L</v>
      </c>
      <c r="F66" s="15" t="str">
        <f>VLOOKUP(Tabela4[[#This Row],[ID_Produto]],Tabela_produto,3,FALSE)</f>
        <v>Móveis</v>
      </c>
      <c r="G66" s="16">
        <f>VLOOKUP(Tabela4[[#This Row],[ID_Produto]],Tabela_produto,4,FALSE)</f>
        <v>450</v>
      </c>
      <c r="H66" s="17">
        <f>Tabela4[[#This Row],[Quantidade]]*Tabela4[[#This Row],[Preço Unitário]]</f>
        <v>450</v>
      </c>
    </row>
    <row r="67" spans="1:8" ht="17.25" x14ac:dyDescent="0.3">
      <c r="A67" s="1">
        <v>66</v>
      </c>
      <c r="B67" s="1">
        <v>7</v>
      </c>
      <c r="C67" s="1">
        <v>25</v>
      </c>
      <c r="D67" s="14">
        <v>45232</v>
      </c>
      <c r="E67" s="15" t="str">
        <f>VLOOKUP(Tabela4[[#This Row],[ID_Produto]],Tabela_produto,2,FALSE)</f>
        <v>Caneta Esferográfica Azul</v>
      </c>
      <c r="F67" s="15" t="str">
        <f>VLOOKUP(Tabela4[[#This Row],[ID_Produto]],Tabela_produto,3,FALSE)</f>
        <v>Papelaria</v>
      </c>
      <c r="G67" s="16">
        <f>VLOOKUP(Tabela4[[#This Row],[ID_Produto]],Tabela_produto,4,FALSE)</f>
        <v>2</v>
      </c>
      <c r="H67" s="17">
        <f>Tabela4[[#This Row],[Quantidade]]*Tabela4[[#This Row],[Preço Unitário]]</f>
        <v>50</v>
      </c>
    </row>
    <row r="68" spans="1:8" ht="17.25" x14ac:dyDescent="0.3">
      <c r="A68" s="1">
        <v>67</v>
      </c>
      <c r="B68" s="1">
        <v>9</v>
      </c>
      <c r="C68" s="1">
        <v>2</v>
      </c>
      <c r="D68" s="14">
        <v>45233</v>
      </c>
      <c r="E68" s="15" t="str">
        <f>VLOOKUP(Tabela4[[#This Row],[ID_Produto]],Tabela_produto,2,FALSE)</f>
        <v>Headset Bluetooth</v>
      </c>
      <c r="F68" s="15" t="str">
        <f>VLOOKUP(Tabela4[[#This Row],[ID_Produto]],Tabela_produto,3,FALSE)</f>
        <v>Eletrônicos</v>
      </c>
      <c r="G68" s="16">
        <f>VLOOKUP(Tabela4[[#This Row],[ID_Produto]],Tabela_produto,4,FALSE)</f>
        <v>300</v>
      </c>
      <c r="H68" s="17">
        <f>Tabela4[[#This Row],[Quantidade]]*Tabela4[[#This Row],[Preço Unitário]]</f>
        <v>600</v>
      </c>
    </row>
    <row r="69" spans="1:8" ht="17.25" x14ac:dyDescent="0.3">
      <c r="A69" s="1">
        <v>68</v>
      </c>
      <c r="B69" s="1">
        <v>20</v>
      </c>
      <c r="C69" s="1">
        <v>6</v>
      </c>
      <c r="D69" s="14">
        <v>45233</v>
      </c>
      <c r="E69" s="15" t="str">
        <f>VLOOKUP(Tabela4[[#This Row],[ID_Produto]],Tabela_produto,2,FALSE)</f>
        <v>Cabo HDMI 2m</v>
      </c>
      <c r="F69" s="15" t="str">
        <f>VLOOKUP(Tabela4[[#This Row],[ID_Produto]],Tabela_produto,3,FALSE)</f>
        <v>Eletrônicos</v>
      </c>
      <c r="G69" s="16">
        <f>VLOOKUP(Tabela4[[#This Row],[ID_Produto]],Tabela_produto,4,FALSE)</f>
        <v>30</v>
      </c>
      <c r="H69" s="17">
        <f>Tabela4[[#This Row],[Quantidade]]*Tabela4[[#This Row],[Preço Unitário]]</f>
        <v>180</v>
      </c>
    </row>
    <row r="70" spans="1:8" ht="17.25" x14ac:dyDescent="0.3">
      <c r="A70" s="1">
        <v>69</v>
      </c>
      <c r="B70" s="1">
        <v>15</v>
      </c>
      <c r="C70" s="1">
        <v>4</v>
      </c>
      <c r="D70" s="14">
        <v>45234</v>
      </c>
      <c r="E70" s="15" t="str">
        <f>VLOOKUP(Tabela4[[#This Row],[ID_Produto]],Tabela_produto,2,FALSE)</f>
        <v>Calculadora Científica</v>
      </c>
      <c r="F70" s="15" t="str">
        <f>VLOOKUP(Tabela4[[#This Row],[ID_Produto]],Tabela_produto,3,FALSE)</f>
        <v>Papelaria</v>
      </c>
      <c r="G70" s="16">
        <f>VLOOKUP(Tabela4[[#This Row],[ID_Produto]],Tabela_produto,4,FALSE)</f>
        <v>90</v>
      </c>
      <c r="H70" s="17">
        <f>Tabela4[[#This Row],[Quantidade]]*Tabela4[[#This Row],[Preço Unitário]]</f>
        <v>360</v>
      </c>
    </row>
    <row r="71" spans="1:8" ht="17.25" x14ac:dyDescent="0.3">
      <c r="A71" s="1">
        <v>70</v>
      </c>
      <c r="B71" s="1">
        <v>1</v>
      </c>
      <c r="C71" s="1">
        <v>2</v>
      </c>
      <c r="D71" s="14">
        <v>45234</v>
      </c>
      <c r="E71" s="15" t="str">
        <f>VLOOKUP(Tabela4[[#This Row],[ID_Produto]],Tabela_produto,2,FALSE)</f>
        <v>Teclado Mecânico</v>
      </c>
      <c r="F71" s="15" t="str">
        <f>VLOOKUP(Tabela4[[#This Row],[ID_Produto]],Tabela_produto,3,FALSE)</f>
        <v>Informática</v>
      </c>
      <c r="G71" s="16">
        <f>VLOOKUP(Tabela4[[#This Row],[ID_Produto]],Tabela_produto,4,FALSE)</f>
        <v>250</v>
      </c>
      <c r="H71" s="17">
        <f>Tabela4[[#This Row],[Quantidade]]*Tabela4[[#This Row],[Preço Unitário]]</f>
        <v>500</v>
      </c>
    </row>
    <row r="72" spans="1:8" ht="17.25" x14ac:dyDescent="0.3">
      <c r="A72" s="1">
        <v>71</v>
      </c>
      <c r="B72" s="1">
        <v>4</v>
      </c>
      <c r="C72" s="1">
        <v>2</v>
      </c>
      <c r="D72" s="14">
        <v>45235</v>
      </c>
      <c r="E72" s="15" t="str">
        <f>VLOOKUP(Tabela4[[#This Row],[ID_Produto]],Tabela_produto,2,FALSE)</f>
        <v>Cadeira de Escritório</v>
      </c>
      <c r="F72" s="15" t="str">
        <f>VLOOKUP(Tabela4[[#This Row],[ID_Produto]],Tabela_produto,3,FALSE)</f>
        <v>Móveis</v>
      </c>
      <c r="G72" s="16">
        <f>VLOOKUP(Tabela4[[#This Row],[ID_Produto]],Tabela_produto,4,FALSE)</f>
        <v>600</v>
      </c>
      <c r="H72" s="17">
        <f>Tabela4[[#This Row],[Quantidade]]*Tabela4[[#This Row],[Preço Unitário]]</f>
        <v>1200</v>
      </c>
    </row>
    <row r="73" spans="1:8" ht="17.25" x14ac:dyDescent="0.3">
      <c r="A73" s="1">
        <v>72</v>
      </c>
      <c r="B73" s="1">
        <v>8</v>
      </c>
      <c r="C73" s="1">
        <v>12</v>
      </c>
      <c r="D73" s="14">
        <v>45235</v>
      </c>
      <c r="E73" s="15" t="str">
        <f>VLOOKUP(Tabela4[[#This Row],[ID_Produto]],Tabela_produto,2,FALSE)</f>
        <v>Marcador de Texto</v>
      </c>
      <c r="F73" s="15" t="str">
        <f>VLOOKUP(Tabela4[[#This Row],[ID_Produto]],Tabela_produto,3,FALSE)</f>
        <v>Papelaria</v>
      </c>
      <c r="G73" s="16">
        <f>VLOOKUP(Tabela4[[#This Row],[ID_Produto]],Tabela_produto,4,FALSE)</f>
        <v>5</v>
      </c>
      <c r="H73" s="17">
        <f>Tabela4[[#This Row],[Quantidade]]*Tabela4[[#This Row],[Preço Unitário]]</f>
        <v>60</v>
      </c>
    </row>
    <row r="74" spans="1:8" ht="17.25" x14ac:dyDescent="0.3">
      <c r="A74" s="1">
        <v>73</v>
      </c>
      <c r="B74" s="1">
        <v>11</v>
      </c>
      <c r="C74" s="1">
        <v>1</v>
      </c>
      <c r="D74" s="14">
        <v>45236</v>
      </c>
      <c r="E74" s="15" t="str">
        <f>VLOOKUP(Tabela4[[#This Row],[ID_Produto]],Tabela_produto,2,FALSE)</f>
        <v>Impressora Multifuncional</v>
      </c>
      <c r="F74" s="15" t="str">
        <f>VLOOKUP(Tabela4[[#This Row],[ID_Produto]],Tabela_produto,3,FALSE)</f>
        <v>Informática</v>
      </c>
      <c r="G74" s="16">
        <f>VLOOKUP(Tabela4[[#This Row],[ID_Produto]],Tabela_produto,4,FALSE)</f>
        <v>700</v>
      </c>
      <c r="H74" s="17">
        <f>Tabela4[[#This Row],[Quantidade]]*Tabela4[[#This Row],[Preço Unitário]]</f>
        <v>700</v>
      </c>
    </row>
    <row r="75" spans="1:8" ht="17.25" x14ac:dyDescent="0.3">
      <c r="A75" s="1">
        <v>74</v>
      </c>
      <c r="B75" s="1">
        <v>18</v>
      </c>
      <c r="C75" s="1">
        <v>1</v>
      </c>
      <c r="D75" s="14">
        <v>45236</v>
      </c>
      <c r="E75" s="15" t="str">
        <f>VLOOKUP(Tabela4[[#This Row],[ID_Produto]],Tabela_produto,2,FALSE)</f>
        <v>Mochila para Notebook</v>
      </c>
      <c r="F75" s="15" t="str">
        <f>VLOOKUP(Tabela4[[#This Row],[ID_Produto]],Tabela_produto,3,FALSE)</f>
        <v>Acessórios</v>
      </c>
      <c r="G75" s="16">
        <f>VLOOKUP(Tabela4[[#This Row],[ID_Produto]],Tabela_produto,4,FALSE)</f>
        <v>150</v>
      </c>
      <c r="H75" s="17">
        <f>Tabela4[[#This Row],[Quantidade]]*Tabela4[[#This Row],[Preço Unitário]]</f>
        <v>150</v>
      </c>
    </row>
    <row r="76" spans="1:8" ht="17.25" x14ac:dyDescent="0.3">
      <c r="A76" s="1">
        <v>75</v>
      </c>
      <c r="B76" s="1">
        <v>16</v>
      </c>
      <c r="C76" s="1">
        <v>3</v>
      </c>
      <c r="D76" s="14">
        <v>45237</v>
      </c>
      <c r="E76" s="15" t="str">
        <f>VLOOKUP(Tabela4[[#This Row],[ID_Produto]],Tabela_produto,2,FALSE)</f>
        <v>SSD 1TB</v>
      </c>
      <c r="F76" s="15" t="str">
        <f>VLOOKUP(Tabela4[[#This Row],[ID_Produto]],Tabela_produto,3,FALSE)</f>
        <v>Informática</v>
      </c>
      <c r="G76" s="16">
        <f>VLOOKUP(Tabela4[[#This Row],[ID_Produto]],Tabela_produto,4,FALSE)</f>
        <v>400</v>
      </c>
      <c r="H76" s="17">
        <f>Tabela4[[#This Row],[Quantidade]]*Tabela4[[#This Row],[Preço Unitário]]</f>
        <v>1200</v>
      </c>
    </row>
    <row r="77" spans="1:8" ht="17.25" x14ac:dyDescent="0.3">
      <c r="A77" s="1">
        <v>76</v>
      </c>
      <c r="B77" s="1">
        <v>6</v>
      </c>
      <c r="C77" s="1">
        <v>6</v>
      </c>
      <c r="D77" s="14">
        <v>45237</v>
      </c>
      <c r="E77" s="15" t="str">
        <f>VLOOKUP(Tabela4[[#This Row],[ID_Produto]],Tabela_produto,2,FALSE)</f>
        <v>Caderno 10 Matérias</v>
      </c>
      <c r="F77" s="15" t="str">
        <f>VLOOKUP(Tabela4[[#This Row],[ID_Produto]],Tabela_produto,3,FALSE)</f>
        <v>Papelaria</v>
      </c>
      <c r="G77" s="16">
        <f>VLOOKUP(Tabela4[[#This Row],[ID_Produto]],Tabela_produto,4,FALSE)</f>
        <v>25.5</v>
      </c>
      <c r="H77" s="17">
        <f>Tabela4[[#This Row],[Quantidade]]*Tabela4[[#This Row],[Preço Unitário]]</f>
        <v>153</v>
      </c>
    </row>
    <row r="78" spans="1:8" ht="17.25" x14ac:dyDescent="0.3">
      <c r="A78" s="1">
        <v>77</v>
      </c>
      <c r="B78" s="1">
        <v>19</v>
      </c>
      <c r="C78" s="1">
        <v>1</v>
      </c>
      <c r="D78" s="14">
        <v>45238</v>
      </c>
      <c r="E78" s="15" t="str">
        <f>VLOOKUP(Tabela4[[#This Row],[ID_Produto]],Tabela_produto,2,FALSE)</f>
        <v>Suporte para Monitor</v>
      </c>
      <c r="F78" s="15" t="str">
        <f>VLOOKUP(Tabela4[[#This Row],[ID_Produto]],Tabela_produto,3,FALSE)</f>
        <v>Acessórios</v>
      </c>
      <c r="G78" s="16">
        <f>VLOOKUP(Tabela4[[#This Row],[ID_Produto]],Tabela_produto,4,FALSE)</f>
        <v>65</v>
      </c>
      <c r="H78" s="17">
        <f>Tabela4[[#This Row],[Quantidade]]*Tabela4[[#This Row],[Preço Unitário]]</f>
        <v>65</v>
      </c>
    </row>
    <row r="79" spans="1:8" ht="17.25" x14ac:dyDescent="0.3">
      <c r="A79" s="1">
        <v>78</v>
      </c>
      <c r="B79" s="1">
        <v>14</v>
      </c>
      <c r="C79" s="1">
        <v>2</v>
      </c>
      <c r="D79" s="14">
        <v>45238</v>
      </c>
      <c r="E79" s="15" t="str">
        <f>VLOOKUP(Tabela4[[#This Row],[ID_Produto]],Tabela_produto,2,FALSE)</f>
        <v>Luminária de Mesa</v>
      </c>
      <c r="F79" s="15" t="str">
        <f>VLOOKUP(Tabela4[[#This Row],[ID_Produto]],Tabela_produto,3,FALSE)</f>
        <v>Móveis</v>
      </c>
      <c r="G79" s="16">
        <f>VLOOKUP(Tabela4[[#This Row],[ID_Produto]],Tabela_produto,4,FALSE)</f>
        <v>85</v>
      </c>
      <c r="H79" s="17">
        <f>Tabela4[[#This Row],[Quantidade]]*Tabela4[[#This Row],[Preço Unitário]]</f>
        <v>170</v>
      </c>
    </row>
    <row r="80" spans="1:8" ht="17.25" x14ac:dyDescent="0.3">
      <c r="A80" s="1">
        <v>79</v>
      </c>
      <c r="B80" s="1">
        <v>10</v>
      </c>
      <c r="C80" s="1">
        <v>3</v>
      </c>
      <c r="D80" s="14">
        <v>45239</v>
      </c>
      <c r="E80" s="15" t="str">
        <f>VLOOKUP(Tabela4[[#This Row],[ID_Produto]],Tabela_produto,2,FALSE)</f>
        <v>Webcam Full HD</v>
      </c>
      <c r="F80" s="15" t="str">
        <f>VLOOKUP(Tabela4[[#This Row],[ID_Produto]],Tabela_produto,3,FALSE)</f>
        <v>Informática</v>
      </c>
      <c r="G80" s="16">
        <f>VLOOKUP(Tabela4[[#This Row],[ID_Produto]],Tabela_produto,4,FALSE)</f>
        <v>180</v>
      </c>
      <c r="H80" s="17">
        <f>Tabela4[[#This Row],[Quantidade]]*Tabela4[[#This Row],[Preço Unitário]]</f>
        <v>540</v>
      </c>
    </row>
    <row r="81" spans="1:8" ht="17.25" x14ac:dyDescent="0.3">
      <c r="A81" s="1">
        <v>80</v>
      </c>
      <c r="B81" s="1">
        <v>13</v>
      </c>
      <c r="C81" s="1">
        <v>1</v>
      </c>
      <c r="D81" s="14">
        <v>45239</v>
      </c>
      <c r="E81" s="15" t="str">
        <f>VLOOKUP(Tabela4[[#This Row],[ID_Produto]],Tabela_produto,2,FALSE)</f>
        <v>Estante de Livros</v>
      </c>
      <c r="F81" s="15" t="str">
        <f>VLOOKUP(Tabela4[[#This Row],[ID_Produto]],Tabela_produto,3,FALSE)</f>
        <v>Móveis</v>
      </c>
      <c r="G81" s="16">
        <f>VLOOKUP(Tabela4[[#This Row],[ID_Produto]],Tabela_produto,4,FALSE)</f>
        <v>350</v>
      </c>
      <c r="H81" s="17">
        <f>Tabela4[[#This Row],[Quantidade]]*Tabela4[[#This Row],[Preço Unitário]]</f>
        <v>350</v>
      </c>
    </row>
    <row r="82" spans="1:8" ht="17.25" x14ac:dyDescent="0.3">
      <c r="A82" s="1">
        <v>81</v>
      </c>
      <c r="B82" s="1">
        <v>2</v>
      </c>
      <c r="C82" s="1">
        <v>4</v>
      </c>
      <c r="D82" s="14">
        <v>45240</v>
      </c>
      <c r="E82" s="15" t="str">
        <f>VLOOKUP(Tabela4[[#This Row],[ID_Produto]],Tabela_produto,2,FALSE)</f>
        <v>Mouse Gamer</v>
      </c>
      <c r="F82" s="15" t="str">
        <f>VLOOKUP(Tabela4[[#This Row],[ID_Produto]],Tabela_produto,3,FALSE)</f>
        <v>Informática</v>
      </c>
      <c r="G82" s="16">
        <f>VLOOKUP(Tabela4[[#This Row],[ID_Produto]],Tabela_produto,4,FALSE)</f>
        <v>120</v>
      </c>
      <c r="H82" s="17">
        <f>Tabela4[[#This Row],[Quantidade]]*Tabela4[[#This Row],[Preço Unitário]]</f>
        <v>480</v>
      </c>
    </row>
    <row r="83" spans="1:8" ht="17.25" x14ac:dyDescent="0.3">
      <c r="A83" s="1">
        <v>82</v>
      </c>
      <c r="B83" s="1">
        <v>17</v>
      </c>
      <c r="C83" s="1">
        <v>2</v>
      </c>
      <c r="D83" s="14">
        <v>45240</v>
      </c>
      <c r="E83" s="15" t="str">
        <f>VLOOKUP(Tabela4[[#This Row],[ID_Produto]],Tabela_produto,2,FALSE)</f>
        <v>Memória RAM 16GB</v>
      </c>
      <c r="F83" s="15" t="str">
        <f>VLOOKUP(Tabela4[[#This Row],[ID_Produto]],Tabela_produto,3,FALSE)</f>
        <v>Informática</v>
      </c>
      <c r="G83" s="16">
        <f>VLOOKUP(Tabela4[[#This Row],[ID_Produto]],Tabela_produto,4,FALSE)</f>
        <v>320</v>
      </c>
      <c r="H83" s="17">
        <f>Tabela4[[#This Row],[Quantidade]]*Tabela4[[#This Row],[Preço Unitário]]</f>
        <v>640</v>
      </c>
    </row>
    <row r="84" spans="1:8" ht="17.25" x14ac:dyDescent="0.3">
      <c r="A84" s="1">
        <v>83</v>
      </c>
      <c r="B84" s="1">
        <v>3</v>
      </c>
      <c r="C84" s="1">
        <v>2</v>
      </c>
      <c r="D84" s="14">
        <v>45241</v>
      </c>
      <c r="E84" s="15" t="str">
        <f>VLOOKUP(Tabela4[[#This Row],[ID_Produto]],Tabela_produto,2,FALSE)</f>
        <v>Monitor 24"</v>
      </c>
      <c r="F84" s="15" t="str">
        <f>VLOOKUP(Tabela4[[#This Row],[ID_Produto]],Tabela_produto,3,FALSE)</f>
        <v>Informática</v>
      </c>
      <c r="G84" s="16">
        <f>VLOOKUP(Tabela4[[#This Row],[ID_Produto]],Tabela_produto,4,FALSE)</f>
        <v>850</v>
      </c>
      <c r="H84" s="17">
        <f>Tabela4[[#This Row],[Quantidade]]*Tabela4[[#This Row],[Preço Unitário]]</f>
        <v>1700</v>
      </c>
    </row>
    <row r="85" spans="1:8" ht="17.25" x14ac:dyDescent="0.3">
      <c r="A85" s="1">
        <v>84</v>
      </c>
      <c r="B85" s="1">
        <v>12</v>
      </c>
      <c r="C85" s="1">
        <v>20</v>
      </c>
      <c r="D85" s="14">
        <v>45241</v>
      </c>
      <c r="E85" s="15" t="str">
        <f>VLOOKUP(Tabela4[[#This Row],[ID_Produto]],Tabela_produto,2,FALSE)</f>
        <v>Papel Sulfite A4 (Resma)</v>
      </c>
      <c r="F85" s="15" t="str">
        <f>VLOOKUP(Tabela4[[#This Row],[ID_Produto]],Tabela_produto,3,FALSE)</f>
        <v>Papelaria</v>
      </c>
      <c r="G85" s="16">
        <f>VLOOKUP(Tabela4[[#This Row],[ID_Produto]],Tabela_produto,4,FALSE)</f>
        <v>28</v>
      </c>
      <c r="H85" s="17">
        <f>Tabela4[[#This Row],[Quantidade]]*Tabela4[[#This Row],[Preço Unitário]]</f>
        <v>560</v>
      </c>
    </row>
    <row r="86" spans="1:8" ht="17.25" x14ac:dyDescent="0.3">
      <c r="A86" s="1">
        <v>85</v>
      </c>
      <c r="B86" s="1">
        <v>5</v>
      </c>
      <c r="C86" s="1">
        <v>2</v>
      </c>
      <c r="D86" s="14">
        <v>45242</v>
      </c>
      <c r="E86" s="15" t="str">
        <f>VLOOKUP(Tabela4[[#This Row],[ID_Produto]],Tabela_produto,2,FALSE)</f>
        <v>Mesa em L</v>
      </c>
      <c r="F86" s="15" t="str">
        <f>VLOOKUP(Tabela4[[#This Row],[ID_Produto]],Tabela_produto,3,FALSE)</f>
        <v>Móveis</v>
      </c>
      <c r="G86" s="16">
        <f>VLOOKUP(Tabela4[[#This Row],[ID_Produto]],Tabela_produto,4,FALSE)</f>
        <v>450</v>
      </c>
      <c r="H86" s="17">
        <f>Tabela4[[#This Row],[Quantidade]]*Tabela4[[#This Row],[Preço Unitário]]</f>
        <v>900</v>
      </c>
    </row>
    <row r="87" spans="1:8" ht="17.25" x14ac:dyDescent="0.3">
      <c r="A87" s="1">
        <v>86</v>
      </c>
      <c r="B87" s="1">
        <v>7</v>
      </c>
      <c r="C87" s="1">
        <v>40</v>
      </c>
      <c r="D87" s="14">
        <v>45242</v>
      </c>
      <c r="E87" s="15" t="str">
        <f>VLOOKUP(Tabela4[[#This Row],[ID_Produto]],Tabela_produto,2,FALSE)</f>
        <v>Caneta Esferográfica Azul</v>
      </c>
      <c r="F87" s="15" t="str">
        <f>VLOOKUP(Tabela4[[#This Row],[ID_Produto]],Tabela_produto,3,FALSE)</f>
        <v>Papelaria</v>
      </c>
      <c r="G87" s="16">
        <f>VLOOKUP(Tabela4[[#This Row],[ID_Produto]],Tabela_produto,4,FALSE)</f>
        <v>2</v>
      </c>
      <c r="H87" s="17">
        <f>Tabela4[[#This Row],[Quantidade]]*Tabela4[[#This Row],[Preço Unitário]]</f>
        <v>80</v>
      </c>
    </row>
    <row r="88" spans="1:8" ht="17.25" x14ac:dyDescent="0.3">
      <c r="A88" s="1">
        <v>87</v>
      </c>
      <c r="B88" s="1">
        <v>9</v>
      </c>
      <c r="C88" s="1">
        <v>1</v>
      </c>
      <c r="D88" s="14">
        <v>45243</v>
      </c>
      <c r="E88" s="15" t="str">
        <f>VLOOKUP(Tabela4[[#This Row],[ID_Produto]],Tabela_produto,2,FALSE)</f>
        <v>Headset Bluetooth</v>
      </c>
      <c r="F88" s="15" t="str">
        <f>VLOOKUP(Tabela4[[#This Row],[ID_Produto]],Tabela_produto,3,FALSE)</f>
        <v>Eletrônicos</v>
      </c>
      <c r="G88" s="16">
        <f>VLOOKUP(Tabela4[[#This Row],[ID_Produto]],Tabela_produto,4,FALSE)</f>
        <v>300</v>
      </c>
      <c r="H88" s="17">
        <f>Tabela4[[#This Row],[Quantidade]]*Tabela4[[#This Row],[Preço Unitário]]</f>
        <v>300</v>
      </c>
    </row>
    <row r="89" spans="1:8" ht="17.25" x14ac:dyDescent="0.3">
      <c r="A89" s="1">
        <v>88</v>
      </c>
      <c r="B89" s="1">
        <v>20</v>
      </c>
      <c r="C89" s="1">
        <v>8</v>
      </c>
      <c r="D89" s="14">
        <v>45243</v>
      </c>
      <c r="E89" s="15" t="str">
        <f>VLOOKUP(Tabela4[[#This Row],[ID_Produto]],Tabela_produto,2,FALSE)</f>
        <v>Cabo HDMI 2m</v>
      </c>
      <c r="F89" s="15" t="str">
        <f>VLOOKUP(Tabela4[[#This Row],[ID_Produto]],Tabela_produto,3,FALSE)</f>
        <v>Eletrônicos</v>
      </c>
      <c r="G89" s="16">
        <f>VLOOKUP(Tabela4[[#This Row],[ID_Produto]],Tabela_produto,4,FALSE)</f>
        <v>30</v>
      </c>
      <c r="H89" s="17">
        <f>Tabela4[[#This Row],[Quantidade]]*Tabela4[[#This Row],[Preço Unitário]]</f>
        <v>240</v>
      </c>
    </row>
    <row r="90" spans="1:8" ht="17.25" x14ac:dyDescent="0.3">
      <c r="A90" s="1">
        <v>89</v>
      </c>
      <c r="B90" s="1">
        <v>15</v>
      </c>
      <c r="C90" s="1">
        <v>2</v>
      </c>
      <c r="D90" s="14">
        <v>45244</v>
      </c>
      <c r="E90" s="15" t="str">
        <f>VLOOKUP(Tabela4[[#This Row],[ID_Produto]],Tabela_produto,2,FALSE)</f>
        <v>Calculadora Científica</v>
      </c>
      <c r="F90" s="15" t="str">
        <f>VLOOKUP(Tabela4[[#This Row],[ID_Produto]],Tabela_produto,3,FALSE)</f>
        <v>Papelaria</v>
      </c>
      <c r="G90" s="16">
        <f>VLOOKUP(Tabela4[[#This Row],[ID_Produto]],Tabela_produto,4,FALSE)</f>
        <v>90</v>
      </c>
      <c r="H90" s="17">
        <f>Tabela4[[#This Row],[Quantidade]]*Tabela4[[#This Row],[Preço Unitário]]</f>
        <v>180</v>
      </c>
    </row>
    <row r="91" spans="1:8" ht="17.25" x14ac:dyDescent="0.3">
      <c r="A91" s="1">
        <v>90</v>
      </c>
      <c r="B91" s="1">
        <v>1</v>
      </c>
      <c r="C91" s="1">
        <v>4</v>
      </c>
      <c r="D91" s="14">
        <v>45244</v>
      </c>
      <c r="E91" s="15" t="str">
        <f>VLOOKUP(Tabela4[[#This Row],[ID_Produto]],Tabela_produto,2,FALSE)</f>
        <v>Teclado Mecânico</v>
      </c>
      <c r="F91" s="15" t="str">
        <f>VLOOKUP(Tabela4[[#This Row],[ID_Produto]],Tabela_produto,3,FALSE)</f>
        <v>Informática</v>
      </c>
      <c r="G91" s="16">
        <f>VLOOKUP(Tabela4[[#This Row],[ID_Produto]],Tabela_produto,4,FALSE)</f>
        <v>250</v>
      </c>
      <c r="H91" s="17">
        <f>Tabela4[[#This Row],[Quantidade]]*Tabela4[[#This Row],[Preço Unitário]]</f>
        <v>1000</v>
      </c>
    </row>
    <row r="92" spans="1:8" ht="17.25" x14ac:dyDescent="0.3">
      <c r="A92" s="1">
        <v>91</v>
      </c>
      <c r="B92" s="1">
        <v>4</v>
      </c>
      <c r="C92" s="1">
        <v>1</v>
      </c>
      <c r="D92" s="14">
        <v>45245</v>
      </c>
      <c r="E92" s="15" t="str">
        <f>VLOOKUP(Tabela4[[#This Row],[ID_Produto]],Tabela_produto,2,FALSE)</f>
        <v>Cadeira de Escritório</v>
      </c>
      <c r="F92" s="15" t="str">
        <f>VLOOKUP(Tabela4[[#This Row],[ID_Produto]],Tabela_produto,3,FALSE)</f>
        <v>Móveis</v>
      </c>
      <c r="G92" s="16">
        <f>VLOOKUP(Tabela4[[#This Row],[ID_Produto]],Tabela_produto,4,FALSE)</f>
        <v>600</v>
      </c>
      <c r="H92" s="17">
        <f>Tabela4[[#This Row],[Quantidade]]*Tabela4[[#This Row],[Preço Unitário]]</f>
        <v>600</v>
      </c>
    </row>
    <row r="93" spans="1:8" ht="17.25" x14ac:dyDescent="0.3">
      <c r="A93" s="1">
        <v>92</v>
      </c>
      <c r="B93" s="1">
        <v>8</v>
      </c>
      <c r="C93" s="1">
        <v>15</v>
      </c>
      <c r="D93" s="14">
        <v>45245</v>
      </c>
      <c r="E93" s="15" t="str">
        <f>VLOOKUP(Tabela4[[#This Row],[ID_Produto]],Tabela_produto,2,FALSE)</f>
        <v>Marcador de Texto</v>
      </c>
      <c r="F93" s="15" t="str">
        <f>VLOOKUP(Tabela4[[#This Row],[ID_Produto]],Tabela_produto,3,FALSE)</f>
        <v>Papelaria</v>
      </c>
      <c r="G93" s="16">
        <f>VLOOKUP(Tabela4[[#This Row],[ID_Produto]],Tabela_produto,4,FALSE)</f>
        <v>5</v>
      </c>
      <c r="H93" s="17">
        <f>Tabela4[[#This Row],[Quantidade]]*Tabela4[[#This Row],[Preço Unitário]]</f>
        <v>75</v>
      </c>
    </row>
    <row r="94" spans="1:8" ht="17.25" x14ac:dyDescent="0.3">
      <c r="A94" s="1">
        <v>93</v>
      </c>
      <c r="B94" s="1">
        <v>11</v>
      </c>
      <c r="C94" s="1">
        <v>2</v>
      </c>
      <c r="D94" s="14">
        <v>45246</v>
      </c>
      <c r="E94" s="15" t="str">
        <f>VLOOKUP(Tabela4[[#This Row],[ID_Produto]],Tabela_produto,2,FALSE)</f>
        <v>Impressora Multifuncional</v>
      </c>
      <c r="F94" s="15" t="str">
        <f>VLOOKUP(Tabela4[[#This Row],[ID_Produto]],Tabela_produto,3,FALSE)</f>
        <v>Informática</v>
      </c>
      <c r="G94" s="16">
        <f>VLOOKUP(Tabela4[[#This Row],[ID_Produto]],Tabela_produto,4,FALSE)</f>
        <v>700</v>
      </c>
      <c r="H94" s="17">
        <f>Tabela4[[#This Row],[Quantidade]]*Tabela4[[#This Row],[Preço Unitário]]</f>
        <v>1400</v>
      </c>
    </row>
    <row r="95" spans="1:8" ht="17.25" x14ac:dyDescent="0.3">
      <c r="A95" s="1">
        <v>94</v>
      </c>
      <c r="B95" s="1">
        <v>18</v>
      </c>
      <c r="C95" s="1">
        <v>2</v>
      </c>
      <c r="D95" s="14">
        <v>45246</v>
      </c>
      <c r="E95" s="15" t="str">
        <f>VLOOKUP(Tabela4[[#This Row],[ID_Produto]],Tabela_produto,2,FALSE)</f>
        <v>Mochila para Notebook</v>
      </c>
      <c r="F95" s="15" t="str">
        <f>VLOOKUP(Tabela4[[#This Row],[ID_Produto]],Tabela_produto,3,FALSE)</f>
        <v>Acessórios</v>
      </c>
      <c r="G95" s="16">
        <f>VLOOKUP(Tabela4[[#This Row],[ID_Produto]],Tabela_produto,4,FALSE)</f>
        <v>150</v>
      </c>
      <c r="H95" s="17">
        <f>Tabela4[[#This Row],[Quantidade]]*Tabela4[[#This Row],[Preço Unitário]]</f>
        <v>300</v>
      </c>
    </row>
    <row r="96" spans="1:8" ht="17.25" x14ac:dyDescent="0.3">
      <c r="A96" s="1">
        <v>95</v>
      </c>
      <c r="B96" s="1">
        <v>16</v>
      </c>
      <c r="C96" s="1">
        <v>1</v>
      </c>
      <c r="D96" s="14">
        <v>45247</v>
      </c>
      <c r="E96" s="15" t="str">
        <f>VLOOKUP(Tabela4[[#This Row],[ID_Produto]],Tabela_produto,2,FALSE)</f>
        <v>SSD 1TB</v>
      </c>
      <c r="F96" s="15" t="str">
        <f>VLOOKUP(Tabela4[[#This Row],[ID_Produto]],Tabela_produto,3,FALSE)</f>
        <v>Informática</v>
      </c>
      <c r="G96" s="16">
        <f>VLOOKUP(Tabela4[[#This Row],[ID_Produto]],Tabela_produto,4,FALSE)</f>
        <v>400</v>
      </c>
      <c r="H96" s="17">
        <f>Tabela4[[#This Row],[Quantidade]]*Tabela4[[#This Row],[Preço Unitário]]</f>
        <v>400</v>
      </c>
    </row>
    <row r="97" spans="1:8" ht="17.25" x14ac:dyDescent="0.3">
      <c r="A97" s="1">
        <v>96</v>
      </c>
      <c r="B97" s="1">
        <v>6</v>
      </c>
      <c r="C97" s="1">
        <v>12</v>
      </c>
      <c r="D97" s="14">
        <v>45247</v>
      </c>
      <c r="E97" s="15" t="str">
        <f>VLOOKUP(Tabela4[[#This Row],[ID_Produto]],Tabela_produto,2,FALSE)</f>
        <v>Caderno 10 Matérias</v>
      </c>
      <c r="F97" s="15" t="str">
        <f>VLOOKUP(Tabela4[[#This Row],[ID_Produto]],Tabela_produto,3,FALSE)</f>
        <v>Papelaria</v>
      </c>
      <c r="G97" s="16">
        <f>VLOOKUP(Tabela4[[#This Row],[ID_Produto]],Tabela_produto,4,FALSE)</f>
        <v>25.5</v>
      </c>
      <c r="H97" s="17">
        <f>Tabela4[[#This Row],[Quantidade]]*Tabela4[[#This Row],[Preço Unitário]]</f>
        <v>306</v>
      </c>
    </row>
    <row r="98" spans="1:8" ht="17.25" x14ac:dyDescent="0.3">
      <c r="A98" s="1">
        <v>97</v>
      </c>
      <c r="B98" s="1">
        <v>19</v>
      </c>
      <c r="C98" s="1">
        <v>3</v>
      </c>
      <c r="D98" s="14">
        <v>45248</v>
      </c>
      <c r="E98" s="15" t="str">
        <f>VLOOKUP(Tabela4[[#This Row],[ID_Produto]],Tabela_produto,2,FALSE)</f>
        <v>Suporte para Monitor</v>
      </c>
      <c r="F98" s="15" t="str">
        <f>VLOOKUP(Tabela4[[#This Row],[ID_Produto]],Tabela_produto,3,FALSE)</f>
        <v>Acessórios</v>
      </c>
      <c r="G98" s="16">
        <f>VLOOKUP(Tabela4[[#This Row],[ID_Produto]],Tabela_produto,4,FALSE)</f>
        <v>65</v>
      </c>
      <c r="H98" s="17">
        <f>Tabela4[[#This Row],[Quantidade]]*Tabela4[[#This Row],[Preço Unitário]]</f>
        <v>195</v>
      </c>
    </row>
    <row r="99" spans="1:8" ht="17.25" x14ac:dyDescent="0.3">
      <c r="A99" s="1">
        <v>98</v>
      </c>
      <c r="B99" s="1">
        <v>14</v>
      </c>
      <c r="C99" s="1">
        <v>1</v>
      </c>
      <c r="D99" s="14">
        <v>45248</v>
      </c>
      <c r="E99" s="15" t="str">
        <f>VLOOKUP(Tabela4[[#This Row],[ID_Produto]],Tabela_produto,2,FALSE)</f>
        <v>Luminária de Mesa</v>
      </c>
      <c r="F99" s="15" t="str">
        <f>VLOOKUP(Tabela4[[#This Row],[ID_Produto]],Tabela_produto,3,FALSE)</f>
        <v>Móveis</v>
      </c>
      <c r="G99" s="16">
        <f>VLOOKUP(Tabela4[[#This Row],[ID_Produto]],Tabela_produto,4,FALSE)</f>
        <v>85</v>
      </c>
      <c r="H99" s="17">
        <f>Tabela4[[#This Row],[Quantidade]]*Tabela4[[#This Row],[Preço Unitário]]</f>
        <v>85</v>
      </c>
    </row>
    <row r="100" spans="1:8" ht="17.25" x14ac:dyDescent="0.3">
      <c r="A100" s="1">
        <v>99</v>
      </c>
      <c r="B100" s="1">
        <v>10</v>
      </c>
      <c r="C100" s="1">
        <v>4</v>
      </c>
      <c r="D100" s="14">
        <v>45249</v>
      </c>
      <c r="E100" s="15" t="str">
        <f>VLOOKUP(Tabela4[[#This Row],[ID_Produto]],Tabela_produto,2,FALSE)</f>
        <v>Webcam Full HD</v>
      </c>
      <c r="F100" s="15" t="str">
        <f>VLOOKUP(Tabela4[[#This Row],[ID_Produto]],Tabela_produto,3,FALSE)</f>
        <v>Informática</v>
      </c>
      <c r="G100" s="16">
        <f>VLOOKUP(Tabela4[[#This Row],[ID_Produto]],Tabela_produto,4,FALSE)</f>
        <v>180</v>
      </c>
      <c r="H100" s="17">
        <f>Tabela4[[#This Row],[Quantidade]]*Tabela4[[#This Row],[Preço Unitário]]</f>
        <v>720</v>
      </c>
    </row>
    <row r="101" spans="1:8" ht="17.25" x14ac:dyDescent="0.3">
      <c r="A101" s="1">
        <v>100</v>
      </c>
      <c r="B101" s="1">
        <v>13</v>
      </c>
      <c r="C101" s="1">
        <v>2</v>
      </c>
      <c r="D101" s="14">
        <v>45249</v>
      </c>
      <c r="E101" s="15" t="str">
        <f>VLOOKUP(Tabela4[[#This Row],[ID_Produto]],Tabela_produto,2,FALSE)</f>
        <v>Estante de Livros</v>
      </c>
      <c r="F101" s="15" t="str">
        <f>VLOOKUP(Tabela4[[#This Row],[ID_Produto]],Tabela_produto,3,FALSE)</f>
        <v>Móveis</v>
      </c>
      <c r="G101" s="16">
        <f>VLOOKUP(Tabela4[[#This Row],[ID_Produto]],Tabela_produto,4,FALSE)</f>
        <v>350</v>
      </c>
      <c r="H101" s="17">
        <f>Tabela4[[#This Row],[Quantidade]]*Tabela4[[#This Row],[Preço Unitário]]</f>
        <v>700</v>
      </c>
    </row>
  </sheetData>
  <mergeCells count="1">
    <mergeCell ref="M1:N1"/>
  </mergeCells>
  <conditionalFormatting sqref="H2:H101">
    <cfRule type="cellIs" dxfId="0" priority="2" operator="greaterThan">
      <formula>1000</formula>
    </cfRule>
    <cfRule type="cellIs" dxfId="1" priority="1" operator="lessThan">
      <formula>100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Produtos</vt:lpstr>
      <vt:lpstr>Vendas</vt:lpstr>
      <vt:lpstr>Tabela_produto</vt:lpstr>
      <vt:lpstr>Tabela_Vendas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</dc:creator>
  <cp:lastModifiedBy>Lab5</cp:lastModifiedBy>
  <dcterms:created xsi:type="dcterms:W3CDTF">2026-10-28T00:33:02Z</dcterms:created>
  <dcterms:modified xsi:type="dcterms:W3CDTF">2026-10-28T01:11:58Z</dcterms:modified>
</cp:coreProperties>
</file>