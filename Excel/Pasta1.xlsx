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Laboratorio-Info\Downloads\"/>
    </mc:Choice>
  </mc:AlternateContent>
  <bookViews>
    <workbookView xWindow="0" yWindow="0" windowWidth="21600" windowHeight="9630"/>
  </bookViews>
  <sheets>
    <sheet name="Planilha4" sheetId="4" r:id="rId1"/>
    <sheet name="Banco de Dados" sheetId="1" r:id="rId2"/>
    <sheet name="DashBoard" sheetId="5" r:id="rId3"/>
  </sheets>
  <definedNames>
    <definedName name="db">'Banco de Dados'!$A:$G</definedName>
    <definedName name="SegmentaçãodeDados_Região">#N/A</definedName>
    <definedName name="SegmentaçãodeDados_Vendedor">#N/A</definedName>
  </definedNames>
  <calcPr calcId="162913"/>
  <pivotCaches>
    <pivotCache cacheId="1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4" l="1"/>
</calcChain>
</file>

<file path=xl/sharedStrings.xml><?xml version="1.0" encoding="utf-8"?>
<sst xmlns="http://schemas.openxmlformats.org/spreadsheetml/2006/main" count="85" uniqueCount="25">
  <si>
    <t>Data</t>
  </si>
  <si>
    <t>Região</t>
  </si>
  <si>
    <t>Vendedor</t>
  </si>
  <si>
    <t>Produto</t>
  </si>
  <si>
    <t>Categoria</t>
  </si>
  <si>
    <t>Quantidade</t>
  </si>
  <si>
    <t>Valor da Venda</t>
  </si>
  <si>
    <t>Sul</t>
  </si>
  <si>
    <t>Ana</t>
  </si>
  <si>
    <t>Notebook</t>
  </si>
  <si>
    <t>Informática</t>
  </si>
  <si>
    <t>Sudeste</t>
  </si>
  <si>
    <t>Bruno</t>
  </si>
  <si>
    <t>Monitor</t>
  </si>
  <si>
    <t>Carlos</t>
  </si>
  <si>
    <t>Cadeira</t>
  </si>
  <si>
    <t>Escritório</t>
  </si>
  <si>
    <t>Nordeste</t>
  </si>
  <si>
    <t>Teclado</t>
  </si>
  <si>
    <t>Rótulos de Linha</t>
  </si>
  <si>
    <t>(vazio)</t>
  </si>
  <si>
    <t>Total Geral</t>
  </si>
  <si>
    <t>Soma de Valor da Venda</t>
  </si>
  <si>
    <t>Contagem de Quantidade</t>
  </si>
  <si>
    <t>Soma de Quantidade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</si>
</sst>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8" fontId="1" fillId="2" borderId="1" xfId="0" applyNumberFormat="1" applyFont="1" applyFill="1" applyBorder="1" applyAlignment="1">
      <alignment horizontal="left" vertical="center" wrapText="1" indent="1"/>
    </xf>
    <xf numFmtId="14" fontId="1" fillId="2" borderId="2" xfId="0" applyNumberFormat="1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8" fontId="1" fillId="2" borderId="2" xfId="0" applyNumberFormat="1" applyFont="1" applyFill="1" applyBorder="1" applyAlignment="1">
      <alignment horizontal="left" vertical="center" wrapText="1" indent="1"/>
    </xf>
    <xf numFmtId="0" fontId="2" fillId="3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0" fillId="4" borderId="0" xfId="0" applyFill="1"/>
  </cellXfs>
  <cellStyles count="1">
    <cellStyle name="Normal" xfId="0" builtinId="0"/>
  </cellStyles>
  <dxfs count="298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numFmt numFmtId="12" formatCode="&quot;R$&quot;\ #,##0.00;[Red]\-&quot;R$&quot;\ #,##0.00"/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[Pasta1.xlsx]Planilha4!Tabela dinâmica3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108149135335297"/>
          <c:y val="0.20303003003003003"/>
          <c:w val="0.56860954572202582"/>
          <c:h val="0.84984895755955037"/>
        </c:manualLayout>
      </c:layout>
      <c:doughnutChart>
        <c:varyColors val="1"/>
        <c:ser>
          <c:idx val="0"/>
          <c:order val="0"/>
          <c:tx>
            <c:strRef>
              <c:f>Planilha4!$B$11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AA-41A9-890A-0599F3C542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AA-41A9-890A-0599F3C542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AA-41A9-890A-0599F3C542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7AA-41A9-890A-0599F3C54215}"/>
              </c:ext>
            </c:extLst>
          </c:dPt>
          <c:cat>
            <c:strRef>
              <c:f>Planilha4!$A$12:$A$16</c:f>
              <c:strCache>
                <c:ptCount val="4"/>
                <c:pt idx="0">
                  <c:v>Carlos</c:v>
                </c:pt>
                <c:pt idx="1">
                  <c:v>Ana</c:v>
                </c:pt>
                <c:pt idx="2">
                  <c:v>Bruno</c:v>
                </c:pt>
                <c:pt idx="3">
                  <c:v>(vazio)</c:v>
                </c:pt>
              </c:strCache>
            </c:strRef>
          </c:cat>
          <c:val>
            <c:numRef>
              <c:f>Planilha4!$B$12:$B$16</c:f>
              <c:numCache>
                <c:formatCode>_("R$"* #,##0.00_);_("R$"* \(#,##0.00\);_("R$"* "-"??_);_(@_)</c:formatCode>
                <c:ptCount val="4"/>
                <c:pt idx="0">
                  <c:v>15200</c:v>
                </c:pt>
                <c:pt idx="1">
                  <c:v>14500</c:v>
                </c:pt>
                <c:pt idx="2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AA-41A9-890A-0599F3C54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[Pasta1.xlsx]Planilha4!Tabela dinâmica2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519225721784778"/>
          <c:y val="0.19342373869932925"/>
          <c:w val="0.70480774278215219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Planilha4!$A$4:$A$8</c:f>
              <c:strCache>
                <c:ptCount val="4"/>
                <c:pt idx="0">
                  <c:v>Sul</c:v>
                </c:pt>
                <c:pt idx="1">
                  <c:v>Sudeste</c:v>
                </c:pt>
                <c:pt idx="2">
                  <c:v>Nordeste</c:v>
                </c:pt>
                <c:pt idx="3">
                  <c:v>(vazio)</c:v>
                </c:pt>
              </c:strCache>
            </c:strRef>
          </c:cat>
          <c:val>
            <c:numRef>
              <c:f>Planilha4!$B$4:$B$8</c:f>
              <c:numCache>
                <c:formatCode>_("R$"* #,##0.00_);_("R$"* \(#,##0.00\);_("R$"* "-"??_);_(@_)</c:formatCode>
                <c:ptCount val="4"/>
                <c:pt idx="0">
                  <c:v>23800</c:v>
                </c:pt>
                <c:pt idx="1">
                  <c:v>10800</c:v>
                </c:pt>
                <c:pt idx="2">
                  <c:v>5900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3-4242-92E9-42CAEA8A0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7718239"/>
        <c:axId val="877721151"/>
      </c:barChart>
      <c:catAx>
        <c:axId val="87771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7721151"/>
        <c:crosses val="autoZero"/>
        <c:auto val="1"/>
        <c:lblAlgn val="ctr"/>
        <c:lblOffset val="100"/>
        <c:noMultiLvlLbl val="0"/>
      </c:catAx>
      <c:valAx>
        <c:axId val="87772115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7771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0</xdr:rowOff>
    </xdr:from>
    <xdr:to>
      <xdr:col>6</xdr:col>
      <xdr:colOff>47625</xdr:colOff>
      <xdr:row>9</xdr:row>
      <xdr:rowOff>47625</xdr:rowOff>
    </xdr:to>
    <xdr:sp macro="" textlink="">
      <xdr:nvSpPr>
        <xdr:cNvPr id="9" name="Retângulo 8"/>
        <xdr:cNvSpPr/>
      </xdr:nvSpPr>
      <xdr:spPr>
        <a:xfrm>
          <a:off x="4124325" y="571500"/>
          <a:ext cx="2876550" cy="1190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161926</xdr:colOff>
      <xdr:row>1</xdr:row>
      <xdr:rowOff>161925</xdr:rowOff>
    </xdr:from>
    <xdr:to>
      <xdr:col>17</xdr:col>
      <xdr:colOff>600075</xdr:colOff>
      <xdr:row>15</xdr:row>
      <xdr:rowOff>158925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19050</xdr:colOff>
      <xdr:row>1</xdr:row>
      <xdr:rowOff>133350</xdr:rowOff>
    </xdr:from>
    <xdr:to>
      <xdr:col>12</xdr:col>
      <xdr:colOff>323850</xdr:colOff>
      <xdr:row>16</xdr:row>
      <xdr:rowOff>19050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47625</xdr:rowOff>
    </xdr:from>
    <xdr:to>
      <xdr:col>4</xdr:col>
      <xdr:colOff>361950</xdr:colOff>
      <xdr:row>5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giã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8625"/>
              <a:ext cx="2800350" cy="619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</xdr:colOff>
      <xdr:row>7</xdr:row>
      <xdr:rowOff>0</xdr:rowOff>
    </xdr:from>
    <xdr:to>
      <xdr:col>4</xdr:col>
      <xdr:colOff>342901</xdr:colOff>
      <xdr:row>10</xdr:row>
      <xdr:rowOff>76199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Vended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1333500"/>
              <a:ext cx="2781300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boratorio-Info" refreshedDate="46324.812797569444" createdVersion="6" refreshedVersion="6" minRefreshableVersion="3" recordCount="11">
  <cacheSource type="worksheet">
    <worksheetSource name="db"/>
  </cacheSource>
  <cacheFields count="7">
    <cacheField name="Data" numFmtId="0">
      <sharedItems containsNonDate="0" containsDate="1" containsString="0" containsBlank="1" minDate="2026-01-05T00:00:00" maxDate="2026-02-28T00:00:00"/>
    </cacheField>
    <cacheField name="Região" numFmtId="0">
      <sharedItems containsBlank="1" count="4">
        <s v="Sul"/>
        <s v="Sudeste"/>
        <s v="Nordeste"/>
        <m/>
      </sharedItems>
    </cacheField>
    <cacheField name="Vendedor" numFmtId="0">
      <sharedItems containsBlank="1" count="4">
        <s v="Ana"/>
        <s v="Bruno"/>
        <s v="Carlos"/>
        <m/>
      </sharedItems>
    </cacheField>
    <cacheField name="Produto" numFmtId="0">
      <sharedItems containsBlank="1" count="5">
        <s v="Notebook"/>
        <s v="Monitor"/>
        <s v="Cadeira"/>
        <s v="Teclado"/>
        <m/>
      </sharedItems>
    </cacheField>
    <cacheField name="Categoria" numFmtId="0">
      <sharedItems containsBlank="1" count="3">
        <s v="Informática"/>
        <s v="Escritório"/>
        <m/>
      </sharedItems>
    </cacheField>
    <cacheField name="Quantidade" numFmtId="0">
      <sharedItems containsString="0" containsBlank="1" containsNumber="1" containsInteger="1" minValue="1" maxValue="12"/>
    </cacheField>
    <cacheField name="Valor da Venda" numFmtId="0">
      <sharedItems containsString="0" containsBlank="1" containsNumber="1" containsInteger="1" minValue="1500" maxValue="8000" count="10">
        <n v="8000"/>
        <n v="5000"/>
        <n v="4800"/>
        <n v="1500"/>
        <n v="4000"/>
        <n v="3000"/>
        <n v="2400"/>
        <n v="1800"/>
        <n v="2000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d v="2026-01-05T00:00:00"/>
    <x v="0"/>
    <x v="0"/>
    <x v="0"/>
    <x v="0"/>
    <n v="2"/>
    <x v="0"/>
  </r>
  <r>
    <d v="2026-01-08T00:00:00"/>
    <x v="1"/>
    <x v="1"/>
    <x v="1"/>
    <x v="0"/>
    <n v="5"/>
    <x v="1"/>
  </r>
  <r>
    <d v="2026-01-12T00:00:00"/>
    <x v="0"/>
    <x v="2"/>
    <x v="2"/>
    <x v="1"/>
    <n v="8"/>
    <x v="2"/>
  </r>
  <r>
    <d v="2026-01-18T00:00:00"/>
    <x v="2"/>
    <x v="0"/>
    <x v="3"/>
    <x v="0"/>
    <n v="10"/>
    <x v="3"/>
  </r>
  <r>
    <d v="2026-01-25T00:00:00"/>
    <x v="1"/>
    <x v="1"/>
    <x v="0"/>
    <x v="0"/>
    <n v="1"/>
    <x v="4"/>
  </r>
  <r>
    <d v="2026-02-03T00:00:00"/>
    <x v="0"/>
    <x v="0"/>
    <x v="1"/>
    <x v="0"/>
    <n v="3"/>
    <x v="5"/>
  </r>
  <r>
    <d v="2026-02-10T00:00:00"/>
    <x v="2"/>
    <x v="2"/>
    <x v="2"/>
    <x v="1"/>
    <n v="4"/>
    <x v="6"/>
  </r>
  <r>
    <d v="2026-02-15T00:00:00"/>
    <x v="1"/>
    <x v="1"/>
    <x v="3"/>
    <x v="0"/>
    <n v="12"/>
    <x v="7"/>
  </r>
  <r>
    <d v="2026-02-21T00:00:00"/>
    <x v="0"/>
    <x v="2"/>
    <x v="0"/>
    <x v="0"/>
    <n v="2"/>
    <x v="0"/>
  </r>
  <r>
    <d v="2026-02-27T00:00:00"/>
    <x v="2"/>
    <x v="0"/>
    <x v="1"/>
    <x v="0"/>
    <n v="2"/>
    <x v="8"/>
  </r>
  <r>
    <m/>
    <x v="3"/>
    <x v="3"/>
    <x v="4"/>
    <x v="2"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7" cacheId="1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2:D38" firstHeaderRow="0" firstDataRow="1" firstDataCol="1"/>
  <pivotFields count="7"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dataField="1"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Quantidade" fld="5" baseField="3" baseItem="0"/>
    <dataField name="Contagem de Quantidade" fld="5" subtotal="count" baseField="0" baseItem="0"/>
    <dataField name="Soma de Valor da Venda" fld="6" baseField="3" baseItem="0" numFmtId="44"/>
  </dataFields>
  <formats count="2">
    <format dxfId="27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73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5" cacheId="1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24:B30" firstHeaderRow="1" firstDataRow="1" firstDataCol="1"/>
  <pivotFields count="7"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Quantidad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4" cacheId="1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8:B22" firstHeaderRow="1" firstDataRow="1" firstDataCol="1"/>
  <pivotFields count="7">
    <pivotField showAll="0"/>
    <pivotField showAll="0">
      <items count="5">
        <item x="2"/>
        <item x="1"/>
        <item x="0"/>
        <item x="3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oma de Valor da Venda" fld="6" baseField="4" baseItem="1" numFmtId="44"/>
  </dataFields>
  <formats count="3">
    <format dxfId="274">
      <pivotArea outline="0" collapsedLevelsAreSubtotals="1" fieldPosition="0"/>
    </format>
    <format dxfId="275">
      <pivotArea dataOnly="0" labelOnly="1" outline="0" axis="axisValues" fieldPosition="0"/>
    </format>
    <format dxfId="27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3" cacheId="1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>
  <location ref="A11:B16" firstHeaderRow="1" firstDataRow="1" firstDataCol="1"/>
  <pivotFields count="7">
    <pivotField showAll="0"/>
    <pivotField showAll="0">
      <items count="5">
        <item x="2"/>
        <item x="1"/>
        <item x="0"/>
        <item x="3"/>
        <item t="default"/>
      </items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2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oma de Valor da Venda" fld="6" baseField="2" baseItem="0" numFmtId="44"/>
  </dataFields>
  <formats count="2">
    <format dxfId="277">
      <pivotArea collapsedLevelsAreSubtotals="1" fieldPosition="0">
        <references count="1">
          <reference field="2" count="3">
            <x v="0"/>
            <x v="1"/>
            <x v="2"/>
          </reference>
        </references>
      </pivotArea>
    </format>
    <format dxfId="278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2" cacheId="1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7">
    <pivotField showAll="0"/>
    <pivotField axis="axisRow" showAll="0" sortType="descending">
      <items count="5">
        <item x="2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>
      <items count="11">
        <item x="3"/>
        <item x="7"/>
        <item x="8"/>
        <item x="6"/>
        <item x="5"/>
        <item x="4"/>
        <item x="2"/>
        <item x="1"/>
        <item x="0"/>
        <item x="9"/>
        <item t="default"/>
      </items>
    </pivotField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Items count="1">
    <i/>
  </colItems>
  <dataFields count="1">
    <dataField name="Soma de Valor da Venda" fld="6" baseField="1" baseItem="0" numFmtId="44"/>
  </dataFields>
  <formats count="1">
    <format dxfId="279">
      <pivotArea outline="0" collapsedLevelsAreSubtotals="1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Região" sourceName="Região">
  <pivotTables>
    <pivotTable tabId="4" name="Tabela dinâmica2"/>
    <pivotTable tabId="4" name="Tabela dinâmica3"/>
    <pivotTable tabId="4" name="Tabela dinâmica4"/>
    <pivotTable tabId="4" name="Tabela dinâmica5"/>
    <pivotTable tabId="4" name="Tabela dinâmica7"/>
  </pivotTables>
  <data>
    <tabular pivotCacheId="1">
      <items count="4">
        <i x="2" s="1"/>
        <i x="1" s="1"/>
        <i x="0" s="1"/>
        <i x="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Vendedor" sourceName="Vendedor">
  <pivotTables>
    <pivotTable tabId="4" name="Tabela dinâmica3"/>
    <pivotTable tabId="4" name="Tabela dinâmica2"/>
    <pivotTable tabId="4" name="Tabela dinâmica4"/>
    <pivotTable tabId="4" name="Tabela dinâmica5"/>
    <pivotTable tabId="4" name="Tabela dinâmica7"/>
  </pivotTables>
  <data>
    <tabular pivotCacheId="1">
      <items count="4">
        <i x="0" s="1"/>
        <i x="1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ão" cache="SegmentaçãodeDados_Região" caption="Região" columnCount="4" rowHeight="241300"/>
  <slicer name="Vendedor" cache="SegmentaçãodeDados_Vendedor" caption="Vendedor" columnCount="4" rowHeight="241300"/>
</slicers>
</file>

<file path=xl/tables/table1.xml><?xml version="1.0" encoding="utf-8"?>
<table xmlns="http://schemas.openxmlformats.org/spreadsheetml/2006/main" id="1" name="Tabela1" displayName="Tabela1" ref="A1:G11" totalsRowShown="0" headerRowDxfId="288" dataDxfId="290" tableBorderDxfId="289">
  <autoFilter ref="A1:G11"/>
  <tableColumns count="7">
    <tableColumn id="1" name="Data" dataDxfId="297"/>
    <tableColumn id="2" name="Região" dataDxfId="296"/>
    <tableColumn id="3" name="Vendedor" dataDxfId="295"/>
    <tableColumn id="4" name="Produto" dataDxfId="294"/>
    <tableColumn id="5" name="Categoria" dataDxfId="293"/>
    <tableColumn id="6" name="Quantidade" dataDxfId="292"/>
    <tableColumn id="7" name="Valor da Venda" dataDxfId="29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activeCell="C2" sqref="C2"/>
    </sheetView>
  </sheetViews>
  <sheetFormatPr defaultRowHeight="15" x14ac:dyDescent="0.25"/>
  <cols>
    <col min="1" max="1" width="18" bestFit="1" customWidth="1"/>
    <col min="2" max="2" width="19.7109375" customWidth="1"/>
    <col min="3" max="3" width="24" bestFit="1" customWidth="1"/>
    <col min="4" max="4" width="24.28515625" style="11" customWidth="1"/>
  </cols>
  <sheetData>
    <row r="1" spans="1:3" x14ac:dyDescent="0.25">
      <c r="C1" s="11"/>
    </row>
    <row r="2" spans="1:3" x14ac:dyDescent="0.25">
      <c r="C2" s="11">
        <f>MAX(Tabela1[[#All],[Valor da Venda]])</f>
        <v>8000</v>
      </c>
    </row>
    <row r="3" spans="1:3" x14ac:dyDescent="0.25">
      <c r="A3" s="8" t="s">
        <v>19</v>
      </c>
      <c r="B3" t="s">
        <v>22</v>
      </c>
    </row>
    <row r="4" spans="1:3" x14ac:dyDescent="0.25">
      <c r="A4" s="9" t="s">
        <v>7</v>
      </c>
      <c r="B4" s="11">
        <v>23800</v>
      </c>
    </row>
    <row r="5" spans="1:3" x14ac:dyDescent="0.25">
      <c r="A5" s="9" t="s">
        <v>11</v>
      </c>
      <c r="B5" s="11">
        <v>10800</v>
      </c>
    </row>
    <row r="6" spans="1:3" x14ac:dyDescent="0.25">
      <c r="A6" s="9" t="s">
        <v>17</v>
      </c>
      <c r="B6" s="11">
        <v>5900</v>
      </c>
    </row>
    <row r="7" spans="1:3" x14ac:dyDescent="0.25">
      <c r="A7" s="9" t="s">
        <v>20</v>
      </c>
      <c r="B7" s="11"/>
    </row>
    <row r="8" spans="1:3" x14ac:dyDescent="0.25">
      <c r="A8" s="9" t="s">
        <v>21</v>
      </c>
      <c r="B8" s="11">
        <v>40500</v>
      </c>
    </row>
    <row r="11" spans="1:3" x14ac:dyDescent="0.25">
      <c r="A11" s="8" t="s">
        <v>19</v>
      </c>
      <c r="B11" t="s">
        <v>22</v>
      </c>
    </row>
    <row r="12" spans="1:3" x14ac:dyDescent="0.25">
      <c r="A12" s="9" t="s">
        <v>14</v>
      </c>
      <c r="B12" s="11">
        <v>15200</v>
      </c>
    </row>
    <row r="13" spans="1:3" x14ac:dyDescent="0.25">
      <c r="A13" s="9" t="s">
        <v>8</v>
      </c>
      <c r="B13" s="11">
        <v>14500</v>
      </c>
    </row>
    <row r="14" spans="1:3" x14ac:dyDescent="0.25">
      <c r="A14" s="9" t="s">
        <v>12</v>
      </c>
      <c r="B14" s="11">
        <v>10800</v>
      </c>
    </row>
    <row r="15" spans="1:3" x14ac:dyDescent="0.25">
      <c r="A15" s="9" t="s">
        <v>20</v>
      </c>
      <c r="B15" s="11"/>
    </row>
    <row r="16" spans="1:3" x14ac:dyDescent="0.25">
      <c r="A16" s="9" t="s">
        <v>21</v>
      </c>
      <c r="B16" s="11">
        <v>40500</v>
      </c>
    </row>
    <row r="18" spans="1:4" x14ac:dyDescent="0.25">
      <c r="A18" s="8" t="s">
        <v>19</v>
      </c>
      <c r="B18" s="11" t="s">
        <v>22</v>
      </c>
    </row>
    <row r="19" spans="1:4" x14ac:dyDescent="0.25">
      <c r="A19" s="9" t="s">
        <v>10</v>
      </c>
      <c r="B19" s="11">
        <v>33300</v>
      </c>
    </row>
    <row r="20" spans="1:4" x14ac:dyDescent="0.25">
      <c r="A20" s="9" t="s">
        <v>16</v>
      </c>
      <c r="B20" s="11">
        <v>7200</v>
      </c>
    </row>
    <row r="21" spans="1:4" x14ac:dyDescent="0.25">
      <c r="A21" s="9" t="s">
        <v>20</v>
      </c>
      <c r="B21" s="11"/>
    </row>
    <row r="22" spans="1:4" x14ac:dyDescent="0.25">
      <c r="A22" s="9" t="s">
        <v>21</v>
      </c>
      <c r="B22" s="11">
        <v>40500</v>
      </c>
    </row>
    <row r="24" spans="1:4" x14ac:dyDescent="0.25">
      <c r="A24" s="8" t="s">
        <v>19</v>
      </c>
      <c r="B24" t="s">
        <v>23</v>
      </c>
    </row>
    <row r="25" spans="1:4" x14ac:dyDescent="0.25">
      <c r="A25" s="9" t="s">
        <v>15</v>
      </c>
      <c r="B25" s="10">
        <v>2</v>
      </c>
    </row>
    <row r="26" spans="1:4" x14ac:dyDescent="0.25">
      <c r="A26" s="9" t="s">
        <v>13</v>
      </c>
      <c r="B26" s="10">
        <v>3</v>
      </c>
    </row>
    <row r="27" spans="1:4" x14ac:dyDescent="0.25">
      <c r="A27" s="9" t="s">
        <v>9</v>
      </c>
      <c r="B27" s="10">
        <v>3</v>
      </c>
    </row>
    <row r="28" spans="1:4" x14ac:dyDescent="0.25">
      <c r="A28" s="9" t="s">
        <v>18</v>
      </c>
      <c r="B28" s="10">
        <v>2</v>
      </c>
    </row>
    <row r="29" spans="1:4" x14ac:dyDescent="0.25">
      <c r="A29" s="9" t="s">
        <v>20</v>
      </c>
      <c r="B29" s="10"/>
    </row>
    <row r="30" spans="1:4" x14ac:dyDescent="0.25">
      <c r="A30" s="9" t="s">
        <v>21</v>
      </c>
      <c r="B30" s="10">
        <v>10</v>
      </c>
    </row>
    <row r="32" spans="1:4" x14ac:dyDescent="0.25">
      <c r="A32" s="8" t="s">
        <v>19</v>
      </c>
      <c r="B32" t="s">
        <v>24</v>
      </c>
      <c r="C32" t="s">
        <v>23</v>
      </c>
      <c r="D32" s="11" t="s">
        <v>22</v>
      </c>
    </row>
    <row r="33" spans="1:4" x14ac:dyDescent="0.25">
      <c r="A33" s="9" t="s">
        <v>15</v>
      </c>
      <c r="B33" s="10">
        <v>12</v>
      </c>
      <c r="C33" s="10">
        <v>2</v>
      </c>
      <c r="D33" s="11">
        <v>7200</v>
      </c>
    </row>
    <row r="34" spans="1:4" x14ac:dyDescent="0.25">
      <c r="A34" s="9" t="s">
        <v>13</v>
      </c>
      <c r="B34" s="10">
        <v>10</v>
      </c>
      <c r="C34" s="10">
        <v>3</v>
      </c>
      <c r="D34" s="11">
        <v>10000</v>
      </c>
    </row>
    <row r="35" spans="1:4" x14ac:dyDescent="0.25">
      <c r="A35" s="9" t="s">
        <v>9</v>
      </c>
      <c r="B35" s="10">
        <v>5</v>
      </c>
      <c r="C35" s="10">
        <v>3</v>
      </c>
      <c r="D35" s="11">
        <v>20000</v>
      </c>
    </row>
    <row r="36" spans="1:4" x14ac:dyDescent="0.25">
      <c r="A36" s="9" t="s">
        <v>18</v>
      </c>
      <c r="B36" s="10">
        <v>22</v>
      </c>
      <c r="C36" s="10">
        <v>2</v>
      </c>
      <c r="D36" s="11">
        <v>3300</v>
      </c>
    </row>
    <row r="37" spans="1:4" x14ac:dyDescent="0.25">
      <c r="A37" s="9" t="s">
        <v>20</v>
      </c>
      <c r="B37" s="10"/>
      <c r="C37" s="10"/>
    </row>
    <row r="38" spans="1:4" x14ac:dyDescent="0.25">
      <c r="A38" s="9" t="s">
        <v>21</v>
      </c>
      <c r="B38" s="10">
        <v>49</v>
      </c>
      <c r="C38" s="10">
        <v>10</v>
      </c>
      <c r="D38" s="11">
        <v>40500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28" sqref="B28"/>
    </sheetView>
  </sheetViews>
  <sheetFormatPr defaultRowHeight="15" x14ac:dyDescent="0.25"/>
  <cols>
    <col min="1" max="7" width="20.28515625" customWidth="1"/>
  </cols>
  <sheetData>
    <row r="1" spans="1:7" ht="17.2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17.25" x14ac:dyDescent="0.25">
      <c r="A2" s="1">
        <v>46027</v>
      </c>
      <c r="B2" s="2" t="s">
        <v>7</v>
      </c>
      <c r="C2" s="2" t="s">
        <v>8</v>
      </c>
      <c r="D2" s="2" t="s">
        <v>9</v>
      </c>
      <c r="E2" s="2" t="s">
        <v>10</v>
      </c>
      <c r="F2" s="2">
        <v>2</v>
      </c>
      <c r="G2" s="3">
        <v>8000</v>
      </c>
    </row>
    <row r="3" spans="1:7" ht="17.25" x14ac:dyDescent="0.25">
      <c r="A3" s="1">
        <v>46030</v>
      </c>
      <c r="B3" s="2" t="s">
        <v>11</v>
      </c>
      <c r="C3" s="2" t="s">
        <v>12</v>
      </c>
      <c r="D3" s="2" t="s">
        <v>13</v>
      </c>
      <c r="E3" s="2" t="s">
        <v>10</v>
      </c>
      <c r="F3" s="2">
        <v>5</v>
      </c>
      <c r="G3" s="3">
        <v>5000</v>
      </c>
    </row>
    <row r="4" spans="1:7" ht="17.25" x14ac:dyDescent="0.25">
      <c r="A4" s="1">
        <v>46034</v>
      </c>
      <c r="B4" s="2" t="s">
        <v>7</v>
      </c>
      <c r="C4" s="2" t="s">
        <v>14</v>
      </c>
      <c r="D4" s="2" t="s">
        <v>15</v>
      </c>
      <c r="E4" s="2" t="s">
        <v>16</v>
      </c>
      <c r="F4" s="2">
        <v>8</v>
      </c>
      <c r="G4" s="3">
        <v>4800</v>
      </c>
    </row>
    <row r="5" spans="1:7" ht="17.25" x14ac:dyDescent="0.25">
      <c r="A5" s="1">
        <v>46040</v>
      </c>
      <c r="B5" s="2" t="s">
        <v>17</v>
      </c>
      <c r="C5" s="2" t="s">
        <v>8</v>
      </c>
      <c r="D5" s="2" t="s">
        <v>18</v>
      </c>
      <c r="E5" s="2" t="s">
        <v>10</v>
      </c>
      <c r="F5" s="2">
        <v>10</v>
      </c>
      <c r="G5" s="3">
        <v>1500</v>
      </c>
    </row>
    <row r="6" spans="1:7" ht="17.25" x14ac:dyDescent="0.25">
      <c r="A6" s="1">
        <v>46047</v>
      </c>
      <c r="B6" s="2" t="s">
        <v>11</v>
      </c>
      <c r="C6" s="2" t="s">
        <v>12</v>
      </c>
      <c r="D6" s="2" t="s">
        <v>9</v>
      </c>
      <c r="E6" s="2" t="s">
        <v>10</v>
      </c>
      <c r="F6" s="2">
        <v>1</v>
      </c>
      <c r="G6" s="3">
        <v>4000</v>
      </c>
    </row>
    <row r="7" spans="1:7" ht="17.25" x14ac:dyDescent="0.25">
      <c r="A7" s="1">
        <v>46056</v>
      </c>
      <c r="B7" s="2" t="s">
        <v>7</v>
      </c>
      <c r="C7" s="2" t="s">
        <v>8</v>
      </c>
      <c r="D7" s="2" t="s">
        <v>13</v>
      </c>
      <c r="E7" s="2" t="s">
        <v>10</v>
      </c>
      <c r="F7" s="2">
        <v>3</v>
      </c>
      <c r="G7" s="3">
        <v>3000</v>
      </c>
    </row>
    <row r="8" spans="1:7" ht="17.25" x14ac:dyDescent="0.25">
      <c r="A8" s="1">
        <v>46063</v>
      </c>
      <c r="B8" s="2" t="s">
        <v>17</v>
      </c>
      <c r="C8" s="2" t="s">
        <v>14</v>
      </c>
      <c r="D8" s="2" t="s">
        <v>15</v>
      </c>
      <c r="E8" s="2" t="s">
        <v>16</v>
      </c>
      <c r="F8" s="2">
        <v>4</v>
      </c>
      <c r="G8" s="3">
        <v>2400</v>
      </c>
    </row>
    <row r="9" spans="1:7" ht="17.25" x14ac:dyDescent="0.25">
      <c r="A9" s="1">
        <v>46068</v>
      </c>
      <c r="B9" s="2" t="s">
        <v>11</v>
      </c>
      <c r="C9" s="2" t="s">
        <v>12</v>
      </c>
      <c r="D9" s="2" t="s">
        <v>18</v>
      </c>
      <c r="E9" s="2" t="s">
        <v>10</v>
      </c>
      <c r="F9" s="2">
        <v>12</v>
      </c>
      <c r="G9" s="3">
        <v>1800</v>
      </c>
    </row>
    <row r="10" spans="1:7" ht="17.25" x14ac:dyDescent="0.25">
      <c r="A10" s="1">
        <v>46074</v>
      </c>
      <c r="B10" s="2" t="s">
        <v>7</v>
      </c>
      <c r="C10" s="2" t="s">
        <v>14</v>
      </c>
      <c r="D10" s="2" t="s">
        <v>9</v>
      </c>
      <c r="E10" s="2" t="s">
        <v>10</v>
      </c>
      <c r="F10" s="2">
        <v>2</v>
      </c>
      <c r="G10" s="3">
        <v>8000</v>
      </c>
    </row>
    <row r="11" spans="1:7" ht="17.25" x14ac:dyDescent="0.25">
      <c r="A11" s="4">
        <v>46080</v>
      </c>
      <c r="B11" s="5" t="s">
        <v>17</v>
      </c>
      <c r="C11" s="5" t="s">
        <v>8</v>
      </c>
      <c r="D11" s="5" t="s">
        <v>13</v>
      </c>
      <c r="E11" s="5" t="s">
        <v>10</v>
      </c>
      <c r="F11" s="5">
        <v>2</v>
      </c>
      <c r="G11" s="6">
        <v>2000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0" sqref="D20"/>
    </sheetView>
  </sheetViews>
  <sheetFormatPr defaultRowHeight="15" x14ac:dyDescent="0.25"/>
  <cols>
    <col min="1" max="16384" width="9.140625" style="12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Planilha4</vt:lpstr>
      <vt:lpstr>Banco de Dados</vt:lpstr>
      <vt:lpstr>DashBoard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Laboratorio-Info</dc:creator>
  <cp:lastModifiedBy>Laboratorio-Info</cp:lastModifiedBy>
  <dcterms:created xsi:type="dcterms:W3CDTF">2026-10-29T22:23:17Z</dcterms:created>
  <dcterms:modified xsi:type="dcterms:W3CDTF">2026-10-29T23:23:42Z</dcterms:modified>
</cp:coreProperties>
</file>